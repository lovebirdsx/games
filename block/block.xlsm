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it_project\games\block\"/>
    </mc:Choice>
  </mc:AlternateContent>
  <bookViews>
    <workbookView xWindow="0" yWindow="0" windowWidth="20730" windowHeight="11760" activeTab="6"/>
  </bookViews>
  <sheets>
    <sheet name="cord" sheetId="1" r:id="rId1"/>
    <sheet name="map" sheetId="7" r:id="rId2"/>
    <sheet name="block" sheetId="8" r:id="rId3"/>
    <sheet name="block_gen" sheetId="9" r:id="rId4"/>
    <sheet name="cfg" sheetId="10" r:id="rId5"/>
    <sheet name="origin" sheetId="3" r:id="rId6"/>
    <sheet name="todo" sheetId="6" r:id="rId7"/>
  </sheets>
  <functionGroups builtInGroupCount="18"/>
  <definedNames>
    <definedName name="COLORS">cfg!$F$3:$F$8</definedName>
    <definedName name="MAX_COLOR_ID">cfg!$I$2</definedName>
    <definedName name="MIN_COLOR_ID">cfg!$I$3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8" i="6" l="1"/>
  <c r="W29" i="6"/>
  <c r="W30" i="6"/>
  <c r="W31" i="6"/>
  <c r="W32" i="6"/>
  <c r="W27" i="6"/>
  <c r="V28" i="6"/>
  <c r="V29" i="6"/>
  <c r="V30" i="6"/>
  <c r="V31" i="6"/>
  <c r="V32" i="6"/>
  <c r="V27" i="6"/>
  <c r="L27" i="6"/>
  <c r="L26" i="6"/>
  <c r="I3" i="10" l="1"/>
  <c r="I2" i="10"/>
  <c r="DA38" i="8"/>
  <c r="BB58" i="8"/>
  <c r="AK38" i="8"/>
  <c r="B3" i="9" l="1"/>
  <c r="D3" i="9" s="1"/>
  <c r="B4" i="9"/>
  <c r="D4" i="9" s="1"/>
  <c r="B5" i="9"/>
  <c r="C5" i="9" s="1"/>
  <c r="B6" i="9"/>
  <c r="D6" i="9" s="1"/>
  <c r="B7" i="9"/>
  <c r="D7" i="9" s="1"/>
  <c r="B8" i="9"/>
  <c r="D8" i="9" s="1"/>
  <c r="B9" i="9"/>
  <c r="C9" i="9" s="1"/>
  <c r="B10" i="9"/>
  <c r="D10" i="9" s="1"/>
  <c r="B11" i="9"/>
  <c r="D11" i="9" s="1"/>
  <c r="B12" i="9"/>
  <c r="D12" i="9" s="1"/>
  <c r="B13" i="9"/>
  <c r="C13" i="9" s="1"/>
  <c r="B14" i="9"/>
  <c r="D14" i="9" s="1"/>
  <c r="B15" i="9"/>
  <c r="D15" i="9" s="1"/>
  <c r="B16" i="9"/>
  <c r="D16" i="9" s="1"/>
  <c r="B17" i="9"/>
  <c r="C17" i="9" s="1"/>
  <c r="B18" i="9"/>
  <c r="D18" i="9" s="1"/>
  <c r="B19" i="9"/>
  <c r="D19" i="9" s="1"/>
  <c r="B20" i="9"/>
  <c r="C20" i="9" s="1"/>
  <c r="E20" i="9" s="1"/>
  <c r="B21" i="9"/>
  <c r="C21" i="9" s="1"/>
  <c r="E21" i="9" s="1"/>
  <c r="B22" i="9"/>
  <c r="D22" i="9" s="1"/>
  <c r="B23" i="9"/>
  <c r="D23" i="9" s="1"/>
  <c r="B24" i="9"/>
  <c r="D24" i="9" s="1"/>
  <c r="B25" i="9"/>
  <c r="C25" i="9" s="1"/>
  <c r="B26" i="9"/>
  <c r="D26" i="9" s="1"/>
  <c r="B27" i="9"/>
  <c r="D27" i="9" s="1"/>
  <c r="B2" i="9"/>
  <c r="C2" i="9" s="1"/>
  <c r="E2" i="9" s="1"/>
  <c r="C4" i="9"/>
  <c r="C6" i="9"/>
  <c r="E6" i="9" s="1"/>
  <c r="C8" i="9"/>
  <c r="E8" i="9" s="1"/>
  <c r="C10" i="9"/>
  <c r="C11" i="9"/>
  <c r="C12" i="9"/>
  <c r="C14" i="9"/>
  <c r="E14" i="9" s="1"/>
  <c r="C16" i="9"/>
  <c r="E16" i="9" s="1"/>
  <c r="C18" i="9"/>
  <c r="E18" i="9" s="1"/>
  <c r="C22" i="9"/>
  <c r="E22" i="9" s="1"/>
  <c r="C23" i="9"/>
  <c r="E23" i="9" s="1"/>
  <c r="C24" i="9"/>
  <c r="C26" i="9"/>
  <c r="E26" i="9" s="1"/>
  <c r="E11" i="9"/>
  <c r="E4" i="9"/>
  <c r="E10" i="9"/>
  <c r="E12" i="9"/>
  <c r="E24" i="9"/>
  <c r="CJ58" i="8"/>
  <c r="C38" i="8"/>
  <c r="BS58" i="8"/>
  <c r="AK18" i="8"/>
  <c r="DR58" i="8"/>
  <c r="BS38" i="8"/>
  <c r="F6" i="10"/>
  <c r="F3" i="10"/>
  <c r="AK58" i="8"/>
  <c r="F4" i="10"/>
  <c r="BS18" i="8"/>
  <c r="CJ38" i="8"/>
  <c r="Z22" i="1"/>
  <c r="BB18" i="8"/>
  <c r="C18" i="8"/>
  <c r="CJ18" i="8"/>
  <c r="DA18" i="8"/>
  <c r="T38" i="8"/>
  <c r="T58" i="8"/>
  <c r="C78" i="8"/>
  <c r="DR38" i="8"/>
  <c r="F5" i="10"/>
  <c r="F7" i="10"/>
  <c r="DR18" i="8"/>
  <c r="DA58" i="8"/>
  <c r="BB38" i="8"/>
  <c r="C58" i="8"/>
  <c r="T18" i="8"/>
  <c r="F8" i="10"/>
  <c r="C7" i="9" l="1"/>
  <c r="E7" i="9" s="1"/>
  <c r="F7" i="9" s="1"/>
  <c r="D25" i="9"/>
  <c r="D21" i="9"/>
  <c r="D17" i="9"/>
  <c r="D13" i="9"/>
  <c r="D9" i="9"/>
  <c r="D5" i="9"/>
  <c r="C27" i="9"/>
  <c r="E27" i="9" s="1"/>
  <c r="C15" i="9"/>
  <c r="E15" i="9" s="1"/>
  <c r="D2" i="9"/>
  <c r="D20" i="9"/>
  <c r="C19" i="9"/>
  <c r="E19" i="9" s="1"/>
  <c r="C3" i="9"/>
  <c r="E3" i="9" s="1"/>
  <c r="F3" i="9" s="1"/>
  <c r="F26" i="9"/>
  <c r="F24" i="9"/>
  <c r="F2" i="9"/>
  <c r="F4" i="9"/>
  <c r="F6" i="9"/>
  <c r="F8" i="9"/>
  <c r="F10" i="9"/>
  <c r="F11" i="9"/>
  <c r="F12" i="9"/>
  <c r="F14" i="9"/>
  <c r="F15" i="9"/>
  <c r="F16" i="9"/>
  <c r="F18" i="9"/>
  <c r="F19" i="9"/>
  <c r="F20" i="9"/>
  <c r="F21" i="9"/>
  <c r="F22" i="9"/>
  <c r="F23" i="9"/>
  <c r="F9" i="9"/>
  <c r="E25" i="9"/>
  <c r="F25" i="9" s="1"/>
  <c r="E17" i="9"/>
  <c r="F17" i="9" s="1"/>
  <c r="E13" i="9"/>
  <c r="F13" i="9" s="1"/>
  <c r="E9" i="9"/>
  <c r="E5" i="9"/>
  <c r="F5" i="9" s="1"/>
  <c r="G9" i="6"/>
  <c r="G8" i="6"/>
  <c r="G7" i="6"/>
  <c r="G3" i="9"/>
  <c r="G21" i="9"/>
  <c r="G16" i="9"/>
  <c r="G5" i="9"/>
  <c r="G2" i="9"/>
  <c r="G25" i="9"/>
  <c r="G20" i="9"/>
  <c r="G9" i="9"/>
  <c r="G11" i="9"/>
  <c r="G10" i="9"/>
  <c r="G15" i="9"/>
  <c r="G4" i="9"/>
  <c r="G19" i="9"/>
  <c r="G23" i="9"/>
  <c r="G24" i="9"/>
  <c r="G12" i="9"/>
  <c r="G8" i="9"/>
  <c r="G22" i="9"/>
  <c r="G7" i="9"/>
  <c r="G14" i="9"/>
  <c r="G17" i="9"/>
  <c r="G18" i="9"/>
  <c r="G13" i="9"/>
  <c r="G26" i="9"/>
  <c r="G6" i="9"/>
</calcChain>
</file>

<file path=xl/sharedStrings.xml><?xml version="1.0" encoding="utf-8"?>
<sst xmlns="http://schemas.openxmlformats.org/spreadsheetml/2006/main" count="148" uniqueCount="109">
  <si>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</si>
  <si>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</si>
  <si>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</si>
  <si>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</si>
  <si>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</si>
  <si>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</si>
  <si>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</si>
  <si>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</si>
  <si>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</si>
  <si>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</si>
  <si>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</si>
  <si>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</si>
  <si>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</si>
  <si>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</si>
  <si>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</si>
  <si>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</si>
  <si>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</si>
  <si>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</si>
  <si>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</si>
  <si>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</si>
  <si>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</si>
  <si>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</si>
  <si>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</si>
  <si>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</si>
  <si>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</si>
  <si>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</si>
  <si>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</si>
  <si>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</si>
  <si>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</si>
  <si>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</si>
  <si>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</si>
  <si>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</si>
  <si>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</si>
  <si>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</si>
  <si>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</si>
  <si>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</si>
  <si>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</si>
  <si>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</si>
  <si>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</si>
  <si>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</si>
  <si>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</si>
  <si>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</si>
  <si>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</si>
  <si>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</si>
  <si>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</si>
  <si>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</si>
  <si>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</si>
  <si>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</si>
  <si>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</si>
  <si>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</si>
  <si>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</si>
  <si>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</si>
  <si>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</si>
  <si>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</si>
  <si>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</si>
  <si>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</si>
  <si>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</si>
  <si>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</si>
  <si>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</si>
  <si>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</si>
  <si>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</si>
  <si>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</si>
  <si>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</si>
  <si>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</si>
  <si>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</si>
  <si>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</si>
  <si>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</si>
  <si>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</si>
  <si>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</si>
  <si>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</si>
  <si>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</si>
  <si>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</si>
  <si>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</si>
  <si>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</si>
  <si>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</si>
  <si>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</si>
  <si>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</si>
  <si>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</si>
  <si>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</si>
  <si>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</si>
  <si>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</si>
  <si>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</si>
  <si>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</si>
  <si>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</si>
  <si>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</si>
  <si>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</si>
  <si>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</si>
  <si>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</si>
  <si>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</si>
  <si>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</si>
  <si>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</si>
  <si>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</si>
  <si>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</si>
  <si>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</si>
  <si>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</si>
  <si>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</si>
  <si>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</si>
  <si>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</si>
  <si>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</si>
  <si>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</si>
  <si>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</si>
  <si>
    <t>ok</t>
    <phoneticPr fontId="1" type="noConversion"/>
  </si>
  <si>
    <t>reconstruciton code</t>
    <phoneticPr fontId="1" type="noConversion"/>
  </si>
  <si>
    <t>step</t>
    <phoneticPr fontId="1" type="noConversion"/>
  </si>
  <si>
    <t>line up</t>
    <phoneticPr fontId="1" type="noConversion"/>
  </si>
  <si>
    <t>explotion</t>
    <phoneticPr fontId="1" type="noConversion"/>
  </si>
  <si>
    <t>crushed</t>
    <phoneticPr fontId="1" type="noConversion"/>
  </si>
  <si>
    <t>cx</t>
    <phoneticPr fontId="1" type="noConversion"/>
  </si>
  <si>
    <t>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</si>
</sst>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7734375" defaultRowHeight="16.5" x14ac:dyDescent="0.3"/>
  <cols>
    <col min="1" max="28" width="2.77734375" style="1"/>
    <col min="29" max="29" width="3.5546875" style="1" bestFit="1" customWidth="1"/>
    <col min="30" max="31" width="2.77734375" style="1"/>
    <col min="32" max="32" width="2.77734375" style="1" customWidth="1"/>
    <col min="33" max="16384" width="2.77734375" style="1"/>
  </cols>
  <sheetData>
    <row r="1" spans="1:42" ht="17.25" thickBot="1" x14ac:dyDescent="0.35"/>
    <row r="2" spans="1:42" x14ac:dyDescent="0.3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3">
      <c r="A3" s="12"/>
      <c r="B3" s="11"/>
      <c r="C3" s="12"/>
      <c r="D3" s="12"/>
      <c r="E3" s="12"/>
      <c r="F3" s="12"/>
      <c r="G3" s="63" t="s">
        <v>9</v>
      </c>
      <c r="H3" s="60"/>
      <c r="I3" s="63" t="s">
        <v>10</v>
      </c>
      <c r="J3" s="60"/>
      <c r="K3" s="63" t="s">
        <v>13</v>
      </c>
      <c r="L3" s="60"/>
      <c r="M3" s="63" t="s">
        <v>11</v>
      </c>
      <c r="N3" s="60"/>
      <c r="O3" s="63" t="s">
        <v>12</v>
      </c>
      <c r="P3" s="60"/>
      <c r="Q3" s="12"/>
      <c r="R3" s="12"/>
      <c r="S3" s="12"/>
      <c r="T3" s="12"/>
      <c r="U3" s="13"/>
      <c r="W3" s="11"/>
      <c r="X3" s="12"/>
      <c r="Y3" s="12"/>
      <c r="Z3" s="12"/>
      <c r="AA3" s="12"/>
      <c r="AB3" s="66"/>
      <c r="AC3" s="67"/>
      <c r="AD3" s="66"/>
      <c r="AE3" s="67"/>
      <c r="AF3" s="66"/>
      <c r="AG3" s="67"/>
      <c r="AH3" s="66"/>
      <c r="AI3" s="67"/>
      <c r="AJ3" s="66"/>
      <c r="AK3" s="67"/>
      <c r="AL3" s="12"/>
      <c r="AM3" s="12"/>
      <c r="AN3" s="12"/>
      <c r="AO3" s="12"/>
      <c r="AP3" s="13"/>
    </row>
    <row r="4" spans="1:42" ht="16.5" customHeight="1" x14ac:dyDescent="0.3">
      <c r="A4" s="12"/>
      <c r="B4" s="11"/>
      <c r="C4" s="12"/>
      <c r="D4" s="12"/>
      <c r="E4" s="12"/>
      <c r="F4" s="12"/>
      <c r="G4" s="64"/>
      <c r="H4" s="62"/>
      <c r="I4" s="64"/>
      <c r="J4" s="62"/>
      <c r="K4" s="64"/>
      <c r="L4" s="62"/>
      <c r="M4" s="64"/>
      <c r="N4" s="62"/>
      <c r="O4" s="64"/>
      <c r="P4" s="62"/>
      <c r="Q4" s="12"/>
      <c r="R4" s="12"/>
      <c r="S4" s="12"/>
      <c r="T4" s="12"/>
      <c r="U4" s="13"/>
      <c r="W4" s="11"/>
      <c r="X4" s="12"/>
      <c r="Y4" s="12"/>
      <c r="Z4" s="12"/>
      <c r="AA4" s="12"/>
      <c r="AB4" s="68"/>
      <c r="AC4" s="69"/>
      <c r="AD4" s="68"/>
      <c r="AE4" s="69"/>
      <c r="AF4" s="68"/>
      <c r="AG4" s="69"/>
      <c r="AH4" s="68"/>
      <c r="AI4" s="69"/>
      <c r="AJ4" s="68"/>
      <c r="AK4" s="69"/>
      <c r="AL4" s="12"/>
      <c r="AM4" s="12"/>
      <c r="AN4" s="12"/>
      <c r="AO4" s="12"/>
      <c r="AP4" s="13"/>
    </row>
    <row r="5" spans="1:42" ht="16.5" customHeight="1" x14ac:dyDescent="0.3">
      <c r="A5" s="12"/>
      <c r="B5" s="11"/>
      <c r="C5" s="12"/>
      <c r="D5" s="12"/>
      <c r="E5" s="12"/>
      <c r="F5" s="63" t="s">
        <v>20</v>
      </c>
      <c r="G5" s="60"/>
      <c r="H5" s="63" t="s">
        <v>21</v>
      </c>
      <c r="I5" s="60"/>
      <c r="J5" s="63" t="s">
        <v>22</v>
      </c>
      <c r="K5" s="60"/>
      <c r="L5" s="63" t="s">
        <v>23</v>
      </c>
      <c r="M5" s="60"/>
      <c r="N5" s="63" t="s">
        <v>24</v>
      </c>
      <c r="O5" s="60"/>
      <c r="P5" s="63" t="s">
        <v>25</v>
      </c>
      <c r="Q5" s="60"/>
      <c r="R5" s="12"/>
      <c r="S5" s="12"/>
      <c r="T5" s="12"/>
      <c r="U5" s="13"/>
      <c r="W5" s="11"/>
      <c r="X5" s="12"/>
      <c r="Y5" s="12"/>
      <c r="Z5" s="12"/>
      <c r="AA5" s="66"/>
      <c r="AB5" s="67"/>
      <c r="AC5" s="66"/>
      <c r="AD5" s="67"/>
      <c r="AE5" s="66"/>
      <c r="AF5" s="67"/>
      <c r="AG5" s="66"/>
      <c r="AH5" s="67"/>
      <c r="AI5" s="66"/>
      <c r="AJ5" s="67"/>
      <c r="AK5" s="66"/>
      <c r="AL5" s="67"/>
      <c r="AM5" s="12"/>
      <c r="AN5" s="12"/>
      <c r="AO5" s="12"/>
      <c r="AP5" s="13"/>
    </row>
    <row r="6" spans="1:42" ht="16.5" customHeight="1" x14ac:dyDescent="0.3">
      <c r="A6" s="12"/>
      <c r="B6" s="11"/>
      <c r="C6" s="12"/>
      <c r="D6" s="12"/>
      <c r="E6" s="12"/>
      <c r="F6" s="64"/>
      <c r="G6" s="62"/>
      <c r="H6" s="64"/>
      <c r="I6" s="62"/>
      <c r="J6" s="64"/>
      <c r="K6" s="62"/>
      <c r="L6" s="64"/>
      <c r="M6" s="62"/>
      <c r="N6" s="64"/>
      <c r="O6" s="62"/>
      <c r="P6" s="64"/>
      <c r="Q6" s="62"/>
      <c r="R6" s="12"/>
      <c r="S6" s="12"/>
      <c r="T6" s="12"/>
      <c r="U6" s="13"/>
      <c r="W6" s="11"/>
      <c r="X6" s="12"/>
      <c r="Y6" s="12"/>
      <c r="Z6" s="12"/>
      <c r="AA6" s="68"/>
      <c r="AB6" s="69"/>
      <c r="AC6" s="68"/>
      <c r="AD6" s="69"/>
      <c r="AE6" s="68"/>
      <c r="AF6" s="69"/>
      <c r="AG6" s="68"/>
      <c r="AH6" s="69"/>
      <c r="AI6" s="68"/>
      <c r="AJ6" s="69"/>
      <c r="AK6" s="68"/>
      <c r="AL6" s="69"/>
      <c r="AM6" s="12"/>
      <c r="AN6" s="12"/>
      <c r="AO6" s="12"/>
      <c r="AP6" s="13"/>
    </row>
    <row r="7" spans="1:42" ht="16.5" customHeight="1" x14ac:dyDescent="0.3">
      <c r="A7" s="12"/>
      <c r="B7" s="11"/>
      <c r="C7" s="12"/>
      <c r="D7" s="12"/>
      <c r="E7" s="63" t="s">
        <v>26</v>
      </c>
      <c r="F7" s="60"/>
      <c r="G7" s="63" t="s">
        <v>27</v>
      </c>
      <c r="H7" s="60"/>
      <c r="I7" s="63" t="s">
        <v>28</v>
      </c>
      <c r="J7" s="60"/>
      <c r="K7" s="63" t="s">
        <v>29</v>
      </c>
      <c r="L7" s="60"/>
      <c r="M7" s="63" t="s">
        <v>30</v>
      </c>
      <c r="N7" s="60"/>
      <c r="O7" s="63" t="s">
        <v>31</v>
      </c>
      <c r="P7" s="60"/>
      <c r="Q7" s="63" t="s">
        <v>32</v>
      </c>
      <c r="R7" s="60"/>
      <c r="S7" s="12"/>
      <c r="T7" s="12"/>
      <c r="U7" s="13"/>
      <c r="W7" s="11"/>
      <c r="X7" s="12"/>
      <c r="Y7" s="12"/>
      <c r="Z7" s="66"/>
      <c r="AA7" s="67"/>
      <c r="AB7" s="66"/>
      <c r="AC7" s="67"/>
      <c r="AD7" s="66"/>
      <c r="AE7" s="67"/>
      <c r="AF7" s="71">
        <v>4</v>
      </c>
      <c r="AG7" s="67"/>
      <c r="AH7" s="73">
        <v>3</v>
      </c>
      <c r="AI7" s="67"/>
      <c r="AJ7" s="66"/>
      <c r="AK7" s="67"/>
      <c r="AL7" s="66"/>
      <c r="AM7" s="67"/>
      <c r="AN7" s="12"/>
      <c r="AO7" s="12"/>
      <c r="AP7" s="13"/>
    </row>
    <row r="8" spans="1:42" ht="16.5" customHeight="1" x14ac:dyDescent="0.3">
      <c r="A8" s="12"/>
      <c r="B8" s="11"/>
      <c r="C8" s="12"/>
      <c r="D8" s="12"/>
      <c r="E8" s="64"/>
      <c r="F8" s="62"/>
      <c r="G8" s="64"/>
      <c r="H8" s="62"/>
      <c r="I8" s="64"/>
      <c r="J8" s="62"/>
      <c r="K8" s="64"/>
      <c r="L8" s="62"/>
      <c r="M8" s="64"/>
      <c r="N8" s="62"/>
      <c r="O8" s="64"/>
      <c r="P8" s="62"/>
      <c r="Q8" s="64"/>
      <c r="R8" s="62"/>
      <c r="S8" s="12"/>
      <c r="T8" s="12"/>
      <c r="U8" s="13"/>
      <c r="W8" s="11"/>
      <c r="X8" s="12"/>
      <c r="Y8" s="12"/>
      <c r="Z8" s="68"/>
      <c r="AA8" s="69"/>
      <c r="AB8" s="68"/>
      <c r="AC8" s="69"/>
      <c r="AD8" s="68"/>
      <c r="AE8" s="69"/>
      <c r="AF8" s="68"/>
      <c r="AG8" s="69"/>
      <c r="AH8" s="68"/>
      <c r="AI8" s="69"/>
      <c r="AJ8" s="68"/>
      <c r="AK8" s="69"/>
      <c r="AL8" s="68"/>
      <c r="AM8" s="69"/>
      <c r="AN8" s="12"/>
      <c r="AO8" s="12"/>
      <c r="AP8" s="13"/>
    </row>
    <row r="9" spans="1:42" ht="16.5" customHeight="1" x14ac:dyDescent="0.3">
      <c r="A9" s="12"/>
      <c r="B9" s="11"/>
      <c r="C9" s="12"/>
      <c r="D9" s="63" t="s">
        <v>33</v>
      </c>
      <c r="E9" s="60"/>
      <c r="F9" s="63" t="s">
        <v>34</v>
      </c>
      <c r="G9" s="60"/>
      <c r="H9" s="63" t="s">
        <v>35</v>
      </c>
      <c r="I9" s="60"/>
      <c r="J9" s="63" t="s">
        <v>36</v>
      </c>
      <c r="K9" s="60"/>
      <c r="L9" s="63" t="s">
        <v>19</v>
      </c>
      <c r="M9" s="60"/>
      <c r="N9" s="63" t="s">
        <v>37</v>
      </c>
      <c r="O9" s="60"/>
      <c r="P9" s="63" t="s">
        <v>38</v>
      </c>
      <c r="Q9" s="60"/>
      <c r="R9" s="63" t="s">
        <v>39</v>
      </c>
      <c r="S9" s="60"/>
      <c r="T9" s="12"/>
      <c r="U9" s="13"/>
      <c r="W9" s="11"/>
      <c r="X9" s="12"/>
      <c r="Y9" s="66"/>
      <c r="Z9" s="67"/>
      <c r="AA9" s="66"/>
      <c r="AB9" s="67"/>
      <c r="AC9" s="66"/>
      <c r="AD9" s="67"/>
      <c r="AE9" s="74">
        <v>1</v>
      </c>
      <c r="AF9" s="67"/>
      <c r="AG9" s="75">
        <v>2</v>
      </c>
      <c r="AH9" s="67"/>
      <c r="AI9" s="75">
        <v>2</v>
      </c>
      <c r="AJ9" s="67"/>
      <c r="AK9" s="66"/>
      <c r="AL9" s="67"/>
      <c r="AM9" s="66"/>
      <c r="AN9" s="67"/>
      <c r="AO9" s="12"/>
      <c r="AP9" s="13"/>
    </row>
    <row r="10" spans="1:42" ht="16.5" customHeight="1" x14ac:dyDescent="0.3">
      <c r="A10" s="12"/>
      <c r="B10" s="11"/>
      <c r="C10" s="12"/>
      <c r="D10" s="64"/>
      <c r="E10" s="62"/>
      <c r="F10" s="64"/>
      <c r="G10" s="62"/>
      <c r="H10" s="64"/>
      <c r="I10" s="62"/>
      <c r="J10" s="64"/>
      <c r="K10" s="62"/>
      <c r="L10" s="64"/>
      <c r="M10" s="62"/>
      <c r="N10" s="64"/>
      <c r="O10" s="62"/>
      <c r="P10" s="64"/>
      <c r="Q10" s="62"/>
      <c r="R10" s="64"/>
      <c r="S10" s="62"/>
      <c r="T10" s="12"/>
      <c r="U10" s="13"/>
      <c r="W10" s="11"/>
      <c r="X10" s="12"/>
      <c r="Y10" s="68"/>
      <c r="Z10" s="69"/>
      <c r="AA10" s="68"/>
      <c r="AB10" s="69"/>
      <c r="AC10" s="68"/>
      <c r="AD10" s="69"/>
      <c r="AE10" s="68"/>
      <c r="AF10" s="69"/>
      <c r="AG10" s="68"/>
      <c r="AH10" s="69"/>
      <c r="AI10" s="68"/>
      <c r="AJ10" s="69"/>
      <c r="AK10" s="68"/>
      <c r="AL10" s="69"/>
      <c r="AM10" s="68"/>
      <c r="AN10" s="69"/>
      <c r="AO10" s="12"/>
      <c r="AP10" s="13"/>
    </row>
    <row r="11" spans="1:42" ht="16.5" customHeight="1" x14ac:dyDescent="0.3">
      <c r="A11" s="12"/>
      <c r="B11" s="11"/>
      <c r="C11" s="63" t="s">
        <v>8</v>
      </c>
      <c r="D11" s="60"/>
      <c r="E11" s="63" t="s">
        <v>7</v>
      </c>
      <c r="F11" s="60"/>
      <c r="G11" s="63" t="s">
        <v>6</v>
      </c>
      <c r="H11" s="60"/>
      <c r="I11" s="63" t="s">
        <v>5</v>
      </c>
      <c r="J11" s="60"/>
      <c r="K11" s="63" t="s">
        <v>0</v>
      </c>
      <c r="L11" s="60"/>
      <c r="M11" s="63" t="s">
        <v>1</v>
      </c>
      <c r="N11" s="60"/>
      <c r="O11" s="63" t="s">
        <v>2</v>
      </c>
      <c r="P11" s="60"/>
      <c r="Q11" s="63" t="s">
        <v>3</v>
      </c>
      <c r="R11" s="60"/>
      <c r="S11" s="63" t="s">
        <v>4</v>
      </c>
      <c r="T11" s="60"/>
      <c r="U11" s="13"/>
      <c r="W11" s="11"/>
      <c r="X11" s="66"/>
      <c r="Y11" s="67"/>
      <c r="Z11" s="66"/>
      <c r="AA11" s="67"/>
      <c r="AB11" s="66"/>
      <c r="AC11" s="67"/>
      <c r="AD11" s="72">
        <v>6</v>
      </c>
      <c r="AE11" s="67"/>
      <c r="AF11" s="66"/>
      <c r="AG11" s="67"/>
      <c r="AH11" s="73">
        <v>3</v>
      </c>
      <c r="AI11" s="67"/>
      <c r="AJ11" s="74">
        <v>1</v>
      </c>
      <c r="AK11" s="67"/>
      <c r="AL11" s="66"/>
      <c r="AM11" s="67"/>
      <c r="AN11" s="66"/>
      <c r="AO11" s="67"/>
      <c r="AP11" s="13"/>
    </row>
    <row r="12" spans="1:42" ht="16.5" customHeight="1" x14ac:dyDescent="0.3">
      <c r="A12" s="12"/>
      <c r="B12" s="11"/>
      <c r="C12" s="64"/>
      <c r="D12" s="62"/>
      <c r="E12" s="64"/>
      <c r="F12" s="62"/>
      <c r="G12" s="64"/>
      <c r="H12" s="62"/>
      <c r="I12" s="64"/>
      <c r="J12" s="62"/>
      <c r="K12" s="64"/>
      <c r="L12" s="62"/>
      <c r="M12" s="64"/>
      <c r="N12" s="62"/>
      <c r="O12" s="64"/>
      <c r="P12" s="62"/>
      <c r="Q12" s="64"/>
      <c r="R12" s="62"/>
      <c r="S12" s="64"/>
      <c r="T12" s="62"/>
      <c r="U12" s="13"/>
      <c r="W12" s="11"/>
      <c r="X12" s="68"/>
      <c r="Y12" s="69"/>
      <c r="Z12" s="68"/>
      <c r="AA12" s="69"/>
      <c r="AB12" s="68"/>
      <c r="AC12" s="69"/>
      <c r="AD12" s="68"/>
      <c r="AE12" s="69"/>
      <c r="AF12" s="68"/>
      <c r="AG12" s="69"/>
      <c r="AH12" s="68"/>
      <c r="AI12" s="69"/>
      <c r="AJ12" s="68"/>
      <c r="AK12" s="69"/>
      <c r="AL12" s="68"/>
      <c r="AM12" s="69"/>
      <c r="AN12" s="68"/>
      <c r="AO12" s="69"/>
      <c r="AP12" s="13"/>
    </row>
    <row r="13" spans="1:42" ht="16.5" customHeight="1" x14ac:dyDescent="0.3">
      <c r="A13" s="12"/>
      <c r="B13" s="11"/>
      <c r="C13" s="12"/>
      <c r="D13" s="63" t="s">
        <v>40</v>
      </c>
      <c r="E13" s="60"/>
      <c r="F13" s="63" t="s">
        <v>41</v>
      </c>
      <c r="G13" s="60"/>
      <c r="H13" s="63" t="s">
        <v>42</v>
      </c>
      <c r="I13" s="60"/>
      <c r="J13" s="63" t="s">
        <v>43</v>
      </c>
      <c r="K13" s="60"/>
      <c r="L13" s="63" t="s">
        <v>44</v>
      </c>
      <c r="M13" s="60"/>
      <c r="N13" s="63" t="s">
        <v>45</v>
      </c>
      <c r="O13" s="60"/>
      <c r="P13" s="63" t="s">
        <v>46</v>
      </c>
      <c r="Q13" s="60"/>
      <c r="R13" s="63" t="s">
        <v>47</v>
      </c>
      <c r="S13" s="60"/>
      <c r="T13" s="12"/>
      <c r="U13" s="13"/>
      <c r="W13" s="11"/>
      <c r="X13" s="4"/>
      <c r="Y13" s="66"/>
      <c r="Z13" s="67"/>
      <c r="AA13" s="66"/>
      <c r="AB13" s="67"/>
      <c r="AC13" s="66"/>
      <c r="AD13" s="67"/>
      <c r="AE13" s="70">
        <v>5</v>
      </c>
      <c r="AF13" s="67"/>
      <c r="AG13" s="71">
        <v>4</v>
      </c>
      <c r="AH13" s="67"/>
      <c r="AI13" s="66"/>
      <c r="AJ13" s="67"/>
      <c r="AK13" s="66"/>
      <c r="AL13" s="67"/>
      <c r="AM13" s="66"/>
      <c r="AN13" s="67"/>
      <c r="AO13" s="4"/>
      <c r="AP13" s="13"/>
    </row>
    <row r="14" spans="1:42" ht="16.5" customHeight="1" x14ac:dyDescent="0.3">
      <c r="A14" s="12"/>
      <c r="B14" s="11"/>
      <c r="C14" s="12"/>
      <c r="D14" s="64"/>
      <c r="E14" s="62"/>
      <c r="F14" s="64"/>
      <c r="G14" s="62"/>
      <c r="H14" s="64"/>
      <c r="I14" s="62"/>
      <c r="J14" s="64"/>
      <c r="K14" s="62"/>
      <c r="L14" s="64"/>
      <c r="M14" s="62"/>
      <c r="N14" s="64"/>
      <c r="O14" s="62"/>
      <c r="P14" s="64"/>
      <c r="Q14" s="62"/>
      <c r="R14" s="64"/>
      <c r="S14" s="62"/>
      <c r="T14" s="12"/>
      <c r="U14" s="13"/>
      <c r="W14" s="11"/>
      <c r="X14" s="4"/>
      <c r="Y14" s="68"/>
      <c r="Z14" s="69"/>
      <c r="AA14" s="68"/>
      <c r="AB14" s="69"/>
      <c r="AC14" s="68"/>
      <c r="AD14" s="69"/>
      <c r="AE14" s="68"/>
      <c r="AF14" s="69"/>
      <c r="AG14" s="68"/>
      <c r="AH14" s="69"/>
      <c r="AI14" s="68"/>
      <c r="AJ14" s="69"/>
      <c r="AK14" s="68"/>
      <c r="AL14" s="69"/>
      <c r="AM14" s="68"/>
      <c r="AN14" s="69"/>
      <c r="AO14" s="4"/>
      <c r="AP14" s="13"/>
    </row>
    <row r="15" spans="1:42" ht="16.5" customHeight="1" x14ac:dyDescent="0.3">
      <c r="A15" s="12"/>
      <c r="B15" s="11"/>
      <c r="C15" s="12"/>
      <c r="D15" s="12"/>
      <c r="E15" s="63" t="s">
        <v>48</v>
      </c>
      <c r="F15" s="60"/>
      <c r="G15" s="63" t="s">
        <v>49</v>
      </c>
      <c r="H15" s="60"/>
      <c r="I15" s="63" t="s">
        <v>50</v>
      </c>
      <c r="J15" s="60"/>
      <c r="K15" s="63" t="s">
        <v>51</v>
      </c>
      <c r="L15" s="60"/>
      <c r="M15" s="63" t="s">
        <v>52</v>
      </c>
      <c r="N15" s="60"/>
      <c r="O15" s="63" t="s">
        <v>53</v>
      </c>
      <c r="P15" s="60"/>
      <c r="Q15" s="58" t="s">
        <v>54</v>
      </c>
      <c r="R15" s="58"/>
      <c r="S15" s="12"/>
      <c r="T15" s="12"/>
      <c r="U15" s="13"/>
      <c r="W15" s="11"/>
      <c r="X15" s="4"/>
      <c r="Y15" s="4"/>
      <c r="Z15" s="66"/>
      <c r="AA15" s="67"/>
      <c r="AB15" s="66"/>
      <c r="AC15" s="67"/>
      <c r="AD15" s="66"/>
      <c r="AE15" s="67"/>
      <c r="AF15" s="66"/>
      <c r="AG15" s="67"/>
      <c r="AH15" s="66"/>
      <c r="AI15" s="67"/>
      <c r="AJ15" s="66"/>
      <c r="AK15" s="67"/>
      <c r="AL15" s="66"/>
      <c r="AM15" s="67"/>
      <c r="AN15" s="4"/>
      <c r="AO15" s="4"/>
      <c r="AP15" s="13"/>
    </row>
    <row r="16" spans="1:42" ht="16.5" customHeight="1" x14ac:dyDescent="0.3">
      <c r="A16" s="12"/>
      <c r="B16" s="11"/>
      <c r="C16" s="12"/>
      <c r="D16" s="12"/>
      <c r="E16" s="64"/>
      <c r="F16" s="62"/>
      <c r="G16" s="64"/>
      <c r="H16" s="62"/>
      <c r="I16" s="64"/>
      <c r="J16" s="62"/>
      <c r="K16" s="64"/>
      <c r="L16" s="62"/>
      <c r="M16" s="64"/>
      <c r="N16" s="62"/>
      <c r="O16" s="64"/>
      <c r="P16" s="62"/>
      <c r="Q16" s="58"/>
      <c r="R16" s="58"/>
      <c r="S16" s="65"/>
      <c r="T16" s="65"/>
      <c r="U16" s="13"/>
      <c r="W16" s="11"/>
      <c r="X16" s="4"/>
      <c r="Y16" s="4"/>
      <c r="Z16" s="68"/>
      <c r="AA16" s="69"/>
      <c r="AB16" s="68"/>
      <c r="AC16" s="69"/>
      <c r="AD16" s="68"/>
      <c r="AE16" s="69"/>
      <c r="AF16" s="68"/>
      <c r="AG16" s="69"/>
      <c r="AH16" s="68"/>
      <c r="AI16" s="69"/>
      <c r="AJ16" s="68"/>
      <c r="AK16" s="69"/>
      <c r="AL16" s="68"/>
      <c r="AM16" s="69"/>
      <c r="AN16" s="4"/>
      <c r="AO16" s="4"/>
      <c r="AP16" s="13"/>
    </row>
    <row r="17" spans="1:42" ht="16.5" customHeight="1" x14ac:dyDescent="0.3">
      <c r="A17" s="12"/>
      <c r="B17" s="11"/>
      <c r="C17" s="12"/>
      <c r="D17" s="12"/>
      <c r="E17" s="12"/>
      <c r="F17" s="63" t="s">
        <v>55</v>
      </c>
      <c r="G17" s="60"/>
      <c r="H17" s="63" t="s">
        <v>56</v>
      </c>
      <c r="I17" s="60"/>
      <c r="J17" s="63" t="s">
        <v>57</v>
      </c>
      <c r="K17" s="60"/>
      <c r="L17" s="63" t="s">
        <v>58</v>
      </c>
      <c r="M17" s="60"/>
      <c r="N17" s="63" t="s">
        <v>59</v>
      </c>
      <c r="O17" s="60"/>
      <c r="P17" s="63" t="s">
        <v>60</v>
      </c>
      <c r="Q17" s="60"/>
      <c r="R17" s="12"/>
      <c r="S17" s="65"/>
      <c r="T17" s="65"/>
      <c r="U17" s="13"/>
      <c r="W17" s="11"/>
      <c r="X17" s="12"/>
      <c r="Y17" s="12"/>
      <c r="Z17" s="12"/>
      <c r="AA17" s="66"/>
      <c r="AB17" s="67"/>
      <c r="AC17" s="66"/>
      <c r="AD17" s="67"/>
      <c r="AE17" s="66"/>
      <c r="AF17" s="67"/>
      <c r="AG17" s="66"/>
      <c r="AH17" s="67"/>
      <c r="AI17" s="66"/>
      <c r="AJ17" s="67"/>
      <c r="AK17" s="66"/>
      <c r="AL17" s="67"/>
      <c r="AM17" s="12"/>
      <c r="AN17" s="12"/>
      <c r="AO17" s="12"/>
      <c r="AP17" s="13"/>
    </row>
    <row r="18" spans="1:42" ht="16.5" customHeight="1" x14ac:dyDescent="0.3">
      <c r="A18" s="12"/>
      <c r="B18" s="11"/>
      <c r="C18" s="12"/>
      <c r="D18" s="12"/>
      <c r="E18" s="12"/>
      <c r="F18" s="64"/>
      <c r="G18" s="62"/>
      <c r="H18" s="64"/>
      <c r="I18" s="62"/>
      <c r="J18" s="64"/>
      <c r="K18" s="62"/>
      <c r="L18" s="64"/>
      <c r="M18" s="62"/>
      <c r="N18" s="64"/>
      <c r="O18" s="62"/>
      <c r="P18" s="64"/>
      <c r="Q18" s="62"/>
      <c r="R18" s="12"/>
      <c r="S18" s="12"/>
      <c r="T18" s="12"/>
      <c r="U18" s="13"/>
      <c r="W18" s="11"/>
      <c r="X18" s="12"/>
      <c r="Y18" s="12"/>
      <c r="Z18" s="12"/>
      <c r="AA18" s="68"/>
      <c r="AB18" s="69"/>
      <c r="AC18" s="68"/>
      <c r="AD18" s="69"/>
      <c r="AE18" s="68"/>
      <c r="AF18" s="69"/>
      <c r="AG18" s="68"/>
      <c r="AH18" s="69"/>
      <c r="AI18" s="68"/>
      <c r="AJ18" s="69"/>
      <c r="AK18" s="68"/>
      <c r="AL18" s="69"/>
      <c r="AM18" s="12"/>
      <c r="AN18" s="12"/>
      <c r="AO18" s="12"/>
      <c r="AP18" s="13"/>
    </row>
    <row r="19" spans="1:42" ht="16.5" customHeight="1" x14ac:dyDescent="0.3">
      <c r="A19" s="12"/>
      <c r="B19" s="11"/>
      <c r="C19" s="12"/>
      <c r="D19" s="12"/>
      <c r="E19" s="12"/>
      <c r="F19" s="12"/>
      <c r="G19" s="63" t="s">
        <v>14</v>
      </c>
      <c r="H19" s="60"/>
      <c r="I19" s="63" t="s">
        <v>15</v>
      </c>
      <c r="J19" s="60"/>
      <c r="K19" s="63" t="s">
        <v>16</v>
      </c>
      <c r="L19" s="60"/>
      <c r="M19" s="63" t="s">
        <v>17</v>
      </c>
      <c r="N19" s="60"/>
      <c r="O19" s="63" t="s">
        <v>18</v>
      </c>
      <c r="P19" s="60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66"/>
      <c r="AC19" s="67"/>
      <c r="AD19" s="66"/>
      <c r="AE19" s="67"/>
      <c r="AF19" s="66"/>
      <c r="AG19" s="67"/>
      <c r="AH19" s="66"/>
      <c r="AI19" s="67"/>
      <c r="AJ19" s="66"/>
      <c r="AK19" s="67"/>
      <c r="AL19" s="12"/>
      <c r="AM19" s="12"/>
      <c r="AN19" s="12"/>
      <c r="AO19" s="12"/>
      <c r="AP19" s="13"/>
    </row>
    <row r="20" spans="1:42" ht="16.5" customHeight="1" x14ac:dyDescent="0.3">
      <c r="A20" s="12"/>
      <c r="B20" s="11"/>
      <c r="C20" s="12"/>
      <c r="D20" s="12"/>
      <c r="E20" s="12"/>
      <c r="F20" s="12"/>
      <c r="G20" s="64"/>
      <c r="H20" s="62"/>
      <c r="I20" s="64"/>
      <c r="J20" s="62"/>
      <c r="K20" s="64"/>
      <c r="L20" s="62"/>
      <c r="M20" s="64"/>
      <c r="N20" s="62"/>
      <c r="O20" s="64"/>
      <c r="P20" s="62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68"/>
      <c r="AC20" s="69"/>
      <c r="AD20" s="68"/>
      <c r="AE20" s="69"/>
      <c r="AF20" s="68"/>
      <c r="AG20" s="69"/>
      <c r="AH20" s="68"/>
      <c r="AI20" s="69"/>
      <c r="AJ20" s="68"/>
      <c r="AK20" s="69"/>
      <c r="AL20" s="12"/>
      <c r="AM20" s="12"/>
      <c r="AN20" s="12"/>
      <c r="AO20" s="12"/>
      <c r="AP20" s="13"/>
    </row>
    <row r="21" spans="1:42" ht="17.25" thickBot="1" x14ac:dyDescent="0.35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3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3"/>
      <c r="Y22" s="33"/>
      <c r="Z22" s="52" t="str">
        <f>GetHexStr(X3:AO20)</f>
        <v>(0,-4,4,);(2,-4,3,);(-1,-2,1,);(1,-2,2,);(3,-2,2,);(-2,0,6,);(2,0,3,);(4,0,1,);(-1,2,5,);(1,2,4,);</v>
      </c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4"/>
      <c r="AN22" s="33"/>
      <c r="AO22" s="33"/>
      <c r="AP22" s="13"/>
    </row>
    <row r="23" spans="1:42" ht="17.25" thickBot="1" x14ac:dyDescent="0.35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3"/>
      <c r="Y23" s="33"/>
      <c r="Z23" s="55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7"/>
      <c r="AN23" s="33"/>
      <c r="AO23" s="33"/>
      <c r="AP23" s="13"/>
    </row>
    <row r="24" spans="1:42" ht="17.25" thickBot="1" x14ac:dyDescent="0.35">
      <c r="A24" s="12"/>
      <c r="B24" s="11"/>
      <c r="C24" s="12"/>
      <c r="D24" s="12"/>
      <c r="E24" s="12"/>
      <c r="F24" s="2"/>
      <c r="G24" s="2"/>
      <c r="H24" s="58" t="s">
        <v>21</v>
      </c>
      <c r="I24" s="58"/>
      <c r="J24" s="59" t="s">
        <v>22</v>
      </c>
      <c r="K24" s="60"/>
      <c r="L24" s="63" t="s">
        <v>23</v>
      </c>
      <c r="M24" s="59"/>
      <c r="N24" s="58" t="s">
        <v>24</v>
      </c>
      <c r="O24" s="58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3">
      <c r="A25" s="12"/>
      <c r="B25" s="11"/>
      <c r="C25" s="12"/>
      <c r="D25" s="12"/>
      <c r="E25" s="12"/>
      <c r="F25" s="2"/>
      <c r="G25" s="2"/>
      <c r="H25" s="58"/>
      <c r="I25" s="58"/>
      <c r="J25" s="61"/>
      <c r="K25" s="62"/>
      <c r="L25" s="64"/>
      <c r="M25" s="61"/>
      <c r="N25" s="58"/>
      <c r="O25" s="58"/>
      <c r="P25" s="2"/>
      <c r="Q25" s="2"/>
      <c r="R25" s="12"/>
      <c r="S25" s="12"/>
      <c r="T25" s="12"/>
      <c r="U25" s="13"/>
    </row>
    <row r="26" spans="1:42" x14ac:dyDescent="0.3">
      <c r="A26" s="12"/>
      <c r="B26" s="11"/>
      <c r="C26" s="12"/>
      <c r="D26" s="12"/>
      <c r="E26" s="2"/>
      <c r="F26" s="2"/>
      <c r="G26" s="58" t="s">
        <v>27</v>
      </c>
      <c r="H26" s="58"/>
      <c r="I26" s="65" t="s">
        <v>28</v>
      </c>
      <c r="J26" s="60"/>
      <c r="K26" s="63" t="s">
        <v>29</v>
      </c>
      <c r="L26" s="60"/>
      <c r="M26" s="63" t="s">
        <v>30</v>
      </c>
      <c r="N26" s="65"/>
      <c r="O26" s="58" t="s">
        <v>31</v>
      </c>
      <c r="P26" s="58"/>
      <c r="Q26" s="2"/>
      <c r="R26" s="2"/>
      <c r="S26" s="12"/>
      <c r="T26" s="12"/>
      <c r="U26" s="13"/>
    </row>
    <row r="27" spans="1:42" x14ac:dyDescent="0.3">
      <c r="A27" s="12"/>
      <c r="B27" s="11"/>
      <c r="C27" s="12"/>
      <c r="D27" s="12"/>
      <c r="E27" s="2"/>
      <c r="F27" s="2"/>
      <c r="G27" s="58"/>
      <c r="H27" s="58"/>
      <c r="I27" s="61"/>
      <c r="J27" s="62"/>
      <c r="K27" s="64"/>
      <c r="L27" s="62"/>
      <c r="M27" s="64"/>
      <c r="N27" s="61"/>
      <c r="O27" s="58"/>
      <c r="P27" s="58"/>
      <c r="Q27" s="2"/>
      <c r="R27" s="2"/>
      <c r="S27" s="12"/>
      <c r="T27" s="12"/>
      <c r="U27" s="13"/>
    </row>
    <row r="28" spans="1:42" x14ac:dyDescent="0.3">
      <c r="A28" s="12"/>
      <c r="B28" s="11"/>
      <c r="C28" s="12"/>
      <c r="D28" s="12"/>
      <c r="E28" s="2"/>
      <c r="F28" s="58" t="s">
        <v>34</v>
      </c>
      <c r="G28" s="58"/>
      <c r="H28" s="65" t="s">
        <v>35</v>
      </c>
      <c r="I28" s="60"/>
      <c r="J28" s="63" t="s">
        <v>36</v>
      </c>
      <c r="K28" s="60"/>
      <c r="L28" s="63" t="s">
        <v>19</v>
      </c>
      <c r="M28" s="60"/>
      <c r="N28" s="63" t="s">
        <v>37</v>
      </c>
      <c r="O28" s="65"/>
      <c r="P28" s="58" t="s">
        <v>38</v>
      </c>
      <c r="Q28" s="58"/>
      <c r="R28" s="2"/>
      <c r="S28" s="12"/>
      <c r="T28" s="12"/>
      <c r="U28" s="13"/>
    </row>
    <row r="29" spans="1:42" x14ac:dyDescent="0.3">
      <c r="A29" s="12"/>
      <c r="B29" s="11"/>
      <c r="C29" s="12"/>
      <c r="D29" s="12"/>
      <c r="E29" s="2"/>
      <c r="F29" s="58"/>
      <c r="G29" s="58"/>
      <c r="H29" s="61"/>
      <c r="I29" s="62"/>
      <c r="J29" s="64"/>
      <c r="K29" s="62"/>
      <c r="L29" s="64"/>
      <c r="M29" s="62"/>
      <c r="N29" s="64"/>
      <c r="O29" s="61"/>
      <c r="P29" s="58"/>
      <c r="Q29" s="58"/>
      <c r="R29" s="2"/>
      <c r="S29" s="12"/>
      <c r="T29" s="12"/>
      <c r="U29" s="13"/>
    </row>
    <row r="30" spans="1:42" x14ac:dyDescent="0.3">
      <c r="A30" s="12"/>
      <c r="B30" s="11"/>
      <c r="C30" s="12"/>
      <c r="D30" s="12"/>
      <c r="E30" s="58" t="s">
        <v>7</v>
      </c>
      <c r="F30" s="58"/>
      <c r="G30" s="65" t="s">
        <v>6</v>
      </c>
      <c r="H30" s="60"/>
      <c r="I30" s="63" t="s">
        <v>5</v>
      </c>
      <c r="J30" s="60"/>
      <c r="K30" s="63" t="s">
        <v>0</v>
      </c>
      <c r="L30" s="60"/>
      <c r="M30" s="63" t="s">
        <v>1</v>
      </c>
      <c r="N30" s="60"/>
      <c r="O30" s="63" t="s">
        <v>2</v>
      </c>
      <c r="P30" s="65"/>
      <c r="Q30" s="58" t="s">
        <v>3</v>
      </c>
      <c r="R30" s="58"/>
      <c r="S30" s="12"/>
      <c r="T30" s="12"/>
      <c r="U30" s="13"/>
    </row>
    <row r="31" spans="1:42" x14ac:dyDescent="0.3">
      <c r="A31" s="12"/>
      <c r="B31" s="11"/>
      <c r="C31" s="12"/>
      <c r="D31" s="12"/>
      <c r="E31" s="58"/>
      <c r="F31" s="58"/>
      <c r="G31" s="65"/>
      <c r="H31" s="62"/>
      <c r="I31" s="64"/>
      <c r="J31" s="62"/>
      <c r="K31" s="64"/>
      <c r="L31" s="62"/>
      <c r="M31" s="64"/>
      <c r="N31" s="62"/>
      <c r="O31" s="64"/>
      <c r="P31" s="65"/>
      <c r="Q31" s="58"/>
      <c r="R31" s="58"/>
      <c r="S31" s="12"/>
      <c r="T31" s="12"/>
      <c r="U31" s="13"/>
    </row>
    <row r="32" spans="1:42" x14ac:dyDescent="0.3">
      <c r="A32" s="12"/>
      <c r="B32" s="11"/>
      <c r="C32" s="12"/>
      <c r="D32" s="12"/>
      <c r="E32" s="2"/>
      <c r="F32" s="58" t="s">
        <v>41</v>
      </c>
      <c r="G32" s="58"/>
      <c r="H32" s="59" t="s">
        <v>42</v>
      </c>
      <c r="I32" s="60"/>
      <c r="J32" s="63" t="s">
        <v>43</v>
      </c>
      <c r="K32" s="60"/>
      <c r="L32" s="63" t="s">
        <v>44</v>
      </c>
      <c r="M32" s="60"/>
      <c r="N32" s="63" t="s">
        <v>45</v>
      </c>
      <c r="O32" s="59"/>
      <c r="P32" s="58" t="s">
        <v>46</v>
      </c>
      <c r="Q32" s="58"/>
      <c r="R32" s="2"/>
      <c r="S32" s="12"/>
      <c r="T32" s="12"/>
      <c r="U32" s="13"/>
    </row>
    <row r="33" spans="1:21" x14ac:dyDescent="0.3">
      <c r="A33" s="12"/>
      <c r="B33" s="11"/>
      <c r="C33" s="12"/>
      <c r="D33" s="12"/>
      <c r="E33" s="2"/>
      <c r="F33" s="58"/>
      <c r="G33" s="58"/>
      <c r="H33" s="65"/>
      <c r="I33" s="62"/>
      <c r="J33" s="64"/>
      <c r="K33" s="62"/>
      <c r="L33" s="64"/>
      <c r="M33" s="62"/>
      <c r="N33" s="64"/>
      <c r="O33" s="65"/>
      <c r="P33" s="58"/>
      <c r="Q33" s="58"/>
      <c r="R33" s="2"/>
      <c r="S33" s="12"/>
      <c r="T33" s="12"/>
      <c r="U33" s="13"/>
    </row>
    <row r="34" spans="1:21" x14ac:dyDescent="0.3">
      <c r="A34" s="12"/>
      <c r="B34" s="11"/>
      <c r="C34" s="12"/>
      <c r="D34" s="12"/>
      <c r="E34" s="2"/>
      <c r="F34" s="2"/>
      <c r="G34" s="58" t="s">
        <v>49</v>
      </c>
      <c r="H34" s="58"/>
      <c r="I34" s="59" t="s">
        <v>50</v>
      </c>
      <c r="J34" s="60"/>
      <c r="K34" s="63" t="s">
        <v>51</v>
      </c>
      <c r="L34" s="60"/>
      <c r="M34" s="63" t="s">
        <v>52</v>
      </c>
      <c r="N34" s="59"/>
      <c r="O34" s="58" t="s">
        <v>53</v>
      </c>
      <c r="P34" s="58"/>
      <c r="Q34" s="2"/>
      <c r="R34" s="2"/>
      <c r="S34" s="12"/>
      <c r="T34" s="12"/>
      <c r="U34" s="13"/>
    </row>
    <row r="35" spans="1:21" x14ac:dyDescent="0.3">
      <c r="A35" s="12"/>
      <c r="B35" s="11"/>
      <c r="C35" s="12"/>
      <c r="D35" s="12"/>
      <c r="E35" s="2"/>
      <c r="F35" s="2"/>
      <c r="G35" s="58"/>
      <c r="H35" s="58"/>
      <c r="I35" s="65"/>
      <c r="J35" s="62"/>
      <c r="K35" s="64"/>
      <c r="L35" s="62"/>
      <c r="M35" s="64"/>
      <c r="N35" s="65"/>
      <c r="O35" s="58"/>
      <c r="P35" s="58"/>
      <c r="Q35" s="2"/>
      <c r="R35" s="2"/>
      <c r="S35" s="12"/>
      <c r="T35" s="12"/>
      <c r="U35" s="13"/>
    </row>
    <row r="36" spans="1:21" x14ac:dyDescent="0.3">
      <c r="A36" s="12"/>
      <c r="B36" s="11"/>
      <c r="C36" s="12"/>
      <c r="D36" s="12"/>
      <c r="E36" s="12"/>
      <c r="F36" s="2"/>
      <c r="G36" s="2"/>
      <c r="H36" s="58" t="s">
        <v>56</v>
      </c>
      <c r="I36" s="58"/>
      <c r="J36" s="59" t="s">
        <v>57</v>
      </c>
      <c r="K36" s="60"/>
      <c r="L36" s="63" t="s">
        <v>58</v>
      </c>
      <c r="M36" s="59"/>
      <c r="N36" s="58" t="s">
        <v>59</v>
      </c>
      <c r="O36" s="58"/>
      <c r="P36" s="2"/>
      <c r="Q36" s="2"/>
      <c r="R36" s="12"/>
      <c r="S36" s="12"/>
      <c r="T36" s="12"/>
      <c r="U36" s="13"/>
    </row>
    <row r="37" spans="1:21" x14ac:dyDescent="0.3">
      <c r="A37" s="12"/>
      <c r="B37" s="11"/>
      <c r="C37" s="12"/>
      <c r="D37" s="12"/>
      <c r="E37" s="12"/>
      <c r="F37" s="2"/>
      <c r="G37" s="2"/>
      <c r="H37" s="58"/>
      <c r="I37" s="58"/>
      <c r="J37" s="61"/>
      <c r="K37" s="62"/>
      <c r="L37" s="64"/>
      <c r="M37" s="61"/>
      <c r="N37" s="58"/>
      <c r="O37" s="58"/>
      <c r="P37" s="2"/>
      <c r="Q37" s="2"/>
      <c r="R37" s="12"/>
      <c r="S37" s="12"/>
      <c r="T37" s="12"/>
      <c r="U37" s="13"/>
    </row>
    <row r="38" spans="1:21" ht="17.25" thickBot="1" x14ac:dyDescent="0.35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640625" defaultRowHeight="18" customHeight="1" x14ac:dyDescent="0.3"/>
  <sheetData>
    <row r="1" spans="1:84" ht="18" customHeight="1" thickBot="1" x14ac:dyDescent="0.35">
      <c r="A1" s="18"/>
    </row>
    <row r="2" spans="1:84" ht="18" customHeight="1" x14ac:dyDescent="0.3">
      <c r="A2" s="18"/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10"/>
      <c r="W2" s="50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10"/>
      <c r="AR2" s="50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10"/>
      <c r="BM2" s="50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10"/>
    </row>
    <row r="3" spans="1:84" ht="18" customHeight="1" x14ac:dyDescent="0.3">
      <c r="A3" s="18"/>
      <c r="B3" s="3"/>
      <c r="C3" s="4"/>
      <c r="D3" s="4"/>
      <c r="E3" s="4"/>
      <c r="F3" s="4"/>
      <c r="G3" s="72">
        <v>6</v>
      </c>
      <c r="H3" s="67"/>
      <c r="I3" s="66"/>
      <c r="J3" s="67"/>
      <c r="K3" s="71">
        <v>4</v>
      </c>
      <c r="L3" s="67"/>
      <c r="M3" s="74">
        <v>1</v>
      </c>
      <c r="N3" s="67"/>
      <c r="O3" s="71">
        <v>4</v>
      </c>
      <c r="P3" s="67"/>
      <c r="Q3" s="4"/>
      <c r="R3" s="4"/>
      <c r="S3" s="4"/>
      <c r="T3" s="4"/>
      <c r="U3" s="13"/>
      <c r="W3" s="3"/>
      <c r="X3" s="4"/>
      <c r="Y3" s="4"/>
      <c r="Z3" s="4"/>
      <c r="AA3" s="4"/>
      <c r="AB3" s="72">
        <v>6</v>
      </c>
      <c r="AC3" s="67"/>
      <c r="AD3" s="66"/>
      <c r="AE3" s="67"/>
      <c r="AF3" s="75">
        <v>2</v>
      </c>
      <c r="AG3" s="67"/>
      <c r="AH3" s="66"/>
      <c r="AI3" s="67"/>
      <c r="AJ3" s="71">
        <v>4</v>
      </c>
      <c r="AK3" s="67"/>
      <c r="AL3" s="4"/>
      <c r="AM3" s="4"/>
      <c r="AN3" s="4"/>
      <c r="AO3" s="4"/>
      <c r="AP3" s="13"/>
      <c r="AR3" s="3"/>
      <c r="AS3" s="4"/>
      <c r="AT3" s="4"/>
      <c r="AU3" s="4"/>
      <c r="AV3" s="4"/>
      <c r="AW3" s="72">
        <v>6</v>
      </c>
      <c r="AX3" s="67"/>
      <c r="AY3" s="66"/>
      <c r="AZ3" s="67"/>
      <c r="BA3" s="71">
        <v>4</v>
      </c>
      <c r="BB3" s="67"/>
      <c r="BC3" s="74">
        <v>1</v>
      </c>
      <c r="BD3" s="67"/>
      <c r="BE3" s="71">
        <v>4</v>
      </c>
      <c r="BF3" s="67"/>
      <c r="BG3" s="4"/>
      <c r="BH3" s="4"/>
      <c r="BI3" s="4"/>
      <c r="BJ3" s="4"/>
      <c r="BK3" s="13"/>
      <c r="BM3" s="3"/>
      <c r="BN3" s="4"/>
      <c r="BO3" s="4"/>
      <c r="BP3" s="4"/>
      <c r="BQ3" s="4"/>
      <c r="BR3" s="72">
        <v>6</v>
      </c>
      <c r="BS3" s="67"/>
      <c r="BT3" s="71">
        <v>4</v>
      </c>
      <c r="BU3" s="67"/>
      <c r="BV3" s="75">
        <v>2</v>
      </c>
      <c r="BW3" s="67"/>
      <c r="BX3" s="74">
        <v>1</v>
      </c>
      <c r="BY3" s="67"/>
      <c r="BZ3" s="74">
        <v>1</v>
      </c>
      <c r="CA3" s="67"/>
      <c r="CB3" s="4"/>
      <c r="CC3" s="4"/>
      <c r="CD3" s="4"/>
      <c r="CE3" s="4"/>
      <c r="CF3" s="13"/>
    </row>
    <row r="4" spans="1:84" ht="18" customHeight="1" x14ac:dyDescent="0.3">
      <c r="A4" s="18"/>
      <c r="B4" s="3"/>
      <c r="C4" s="4"/>
      <c r="D4" s="4"/>
      <c r="E4" s="4"/>
      <c r="F4" s="4"/>
      <c r="G4" s="68"/>
      <c r="H4" s="69"/>
      <c r="I4" s="68"/>
      <c r="J4" s="69"/>
      <c r="K4" s="68"/>
      <c r="L4" s="69"/>
      <c r="M4" s="68"/>
      <c r="N4" s="69"/>
      <c r="O4" s="68"/>
      <c r="P4" s="69"/>
      <c r="Q4" s="4"/>
      <c r="R4" s="4"/>
      <c r="S4" s="4"/>
      <c r="T4" s="4"/>
      <c r="U4" s="13"/>
      <c r="W4" s="3"/>
      <c r="X4" s="4"/>
      <c r="Y4" s="4"/>
      <c r="Z4" s="4"/>
      <c r="AA4" s="4"/>
      <c r="AB4" s="68"/>
      <c r="AC4" s="69"/>
      <c r="AD4" s="68"/>
      <c r="AE4" s="69"/>
      <c r="AF4" s="68"/>
      <c r="AG4" s="69"/>
      <c r="AH4" s="68"/>
      <c r="AI4" s="69"/>
      <c r="AJ4" s="68"/>
      <c r="AK4" s="69"/>
      <c r="AL4" s="4"/>
      <c r="AM4" s="4"/>
      <c r="AN4" s="4"/>
      <c r="AO4" s="4"/>
      <c r="AP4" s="13"/>
      <c r="AR4" s="3"/>
      <c r="AS4" s="4"/>
      <c r="AT4" s="4"/>
      <c r="AU4" s="4"/>
      <c r="AV4" s="4"/>
      <c r="AW4" s="68"/>
      <c r="AX4" s="69"/>
      <c r="AY4" s="68"/>
      <c r="AZ4" s="69"/>
      <c r="BA4" s="68"/>
      <c r="BB4" s="69"/>
      <c r="BC4" s="68"/>
      <c r="BD4" s="69"/>
      <c r="BE4" s="68"/>
      <c r="BF4" s="69"/>
      <c r="BG4" s="4"/>
      <c r="BH4" s="4"/>
      <c r="BI4" s="4"/>
      <c r="BJ4" s="4"/>
      <c r="BK4" s="13"/>
      <c r="BM4" s="3"/>
      <c r="BN4" s="4"/>
      <c r="BO4" s="4"/>
      <c r="BP4" s="4"/>
      <c r="BQ4" s="4"/>
      <c r="BR4" s="68"/>
      <c r="BS4" s="69"/>
      <c r="BT4" s="68"/>
      <c r="BU4" s="69"/>
      <c r="BV4" s="68"/>
      <c r="BW4" s="69"/>
      <c r="BX4" s="68"/>
      <c r="BY4" s="69"/>
      <c r="BZ4" s="68"/>
      <c r="CA4" s="69"/>
      <c r="CB4" s="4"/>
      <c r="CC4" s="4"/>
      <c r="CD4" s="4"/>
      <c r="CE4" s="4"/>
      <c r="CF4" s="13"/>
    </row>
    <row r="5" spans="1:84" ht="18" customHeight="1" x14ac:dyDescent="0.3">
      <c r="A5" s="18"/>
      <c r="B5" s="3"/>
      <c r="C5" s="4"/>
      <c r="D5" s="4"/>
      <c r="E5" s="4"/>
      <c r="F5" s="72">
        <v>6</v>
      </c>
      <c r="G5" s="67"/>
      <c r="H5" s="66"/>
      <c r="I5" s="67"/>
      <c r="J5" s="66"/>
      <c r="K5" s="67"/>
      <c r="L5" s="75">
        <v>2</v>
      </c>
      <c r="M5" s="67"/>
      <c r="N5" s="74">
        <v>1</v>
      </c>
      <c r="O5" s="67"/>
      <c r="P5" s="73">
        <v>3</v>
      </c>
      <c r="Q5" s="67"/>
      <c r="R5" s="4"/>
      <c r="S5" s="4"/>
      <c r="T5" s="4"/>
      <c r="U5" s="13"/>
      <c r="W5" s="3"/>
      <c r="X5" s="4"/>
      <c r="Y5" s="4"/>
      <c r="Z5" s="4"/>
      <c r="AA5" s="72">
        <v>6</v>
      </c>
      <c r="AB5" s="67"/>
      <c r="AC5" s="73">
        <v>3</v>
      </c>
      <c r="AD5" s="67"/>
      <c r="AE5" s="72">
        <v>6</v>
      </c>
      <c r="AF5" s="67"/>
      <c r="AG5" s="73">
        <v>3</v>
      </c>
      <c r="AH5" s="67"/>
      <c r="AI5" s="66"/>
      <c r="AJ5" s="67"/>
      <c r="AK5" s="73">
        <v>3</v>
      </c>
      <c r="AL5" s="67"/>
      <c r="AM5" s="4"/>
      <c r="AN5" s="4"/>
      <c r="AO5" s="4"/>
      <c r="AP5" s="13"/>
      <c r="AR5" s="3"/>
      <c r="AS5" s="4"/>
      <c r="AT5" s="4"/>
      <c r="AU5" s="4"/>
      <c r="AV5" s="72">
        <v>6</v>
      </c>
      <c r="AW5" s="67"/>
      <c r="AX5" s="66"/>
      <c r="AY5" s="67"/>
      <c r="AZ5" s="66"/>
      <c r="BA5" s="67"/>
      <c r="BB5" s="75">
        <v>2</v>
      </c>
      <c r="BC5" s="67"/>
      <c r="BD5" s="74">
        <v>1</v>
      </c>
      <c r="BE5" s="67"/>
      <c r="BF5" s="73">
        <v>3</v>
      </c>
      <c r="BG5" s="67"/>
      <c r="BH5" s="4"/>
      <c r="BI5" s="4"/>
      <c r="BJ5" s="4"/>
      <c r="BK5" s="13"/>
      <c r="BM5" s="3"/>
      <c r="BN5" s="4"/>
      <c r="BO5" s="4"/>
      <c r="BP5" s="4"/>
      <c r="BQ5" s="74">
        <v>1</v>
      </c>
      <c r="BR5" s="67"/>
      <c r="BS5" s="66"/>
      <c r="BT5" s="67"/>
      <c r="BU5" s="66"/>
      <c r="BV5" s="67"/>
      <c r="BW5" s="66"/>
      <c r="BX5" s="67"/>
      <c r="BY5" s="66"/>
      <c r="BZ5" s="67"/>
      <c r="CA5" s="70">
        <v>5</v>
      </c>
      <c r="CB5" s="67"/>
      <c r="CC5" s="4"/>
      <c r="CD5" s="4"/>
      <c r="CE5" s="4"/>
      <c r="CF5" s="13"/>
    </row>
    <row r="6" spans="1:84" ht="18" customHeight="1" x14ac:dyDescent="0.3">
      <c r="A6" s="18"/>
      <c r="B6" s="3"/>
      <c r="C6" s="4"/>
      <c r="D6" s="4"/>
      <c r="E6" s="4"/>
      <c r="F6" s="68"/>
      <c r="G6" s="69"/>
      <c r="H6" s="68"/>
      <c r="I6" s="69"/>
      <c r="J6" s="68"/>
      <c r="K6" s="69"/>
      <c r="L6" s="68"/>
      <c r="M6" s="69"/>
      <c r="N6" s="68"/>
      <c r="O6" s="69"/>
      <c r="P6" s="68"/>
      <c r="Q6" s="69"/>
      <c r="R6" s="4"/>
      <c r="S6" s="4"/>
      <c r="T6" s="4"/>
      <c r="U6" s="13"/>
      <c r="W6" s="3"/>
      <c r="X6" s="4"/>
      <c r="Y6" s="4"/>
      <c r="Z6" s="4"/>
      <c r="AA6" s="68"/>
      <c r="AB6" s="69"/>
      <c r="AC6" s="68"/>
      <c r="AD6" s="69"/>
      <c r="AE6" s="68"/>
      <c r="AF6" s="69"/>
      <c r="AG6" s="68"/>
      <c r="AH6" s="69"/>
      <c r="AI6" s="68"/>
      <c r="AJ6" s="69"/>
      <c r="AK6" s="68"/>
      <c r="AL6" s="69"/>
      <c r="AM6" s="4"/>
      <c r="AN6" s="4"/>
      <c r="AO6" s="4"/>
      <c r="AP6" s="13"/>
      <c r="AR6" s="3"/>
      <c r="AS6" s="4"/>
      <c r="AT6" s="4"/>
      <c r="AU6" s="4"/>
      <c r="AV6" s="68"/>
      <c r="AW6" s="69"/>
      <c r="AX6" s="68"/>
      <c r="AY6" s="69"/>
      <c r="AZ6" s="68"/>
      <c r="BA6" s="69"/>
      <c r="BB6" s="68"/>
      <c r="BC6" s="69"/>
      <c r="BD6" s="68"/>
      <c r="BE6" s="69"/>
      <c r="BF6" s="68"/>
      <c r="BG6" s="69"/>
      <c r="BH6" s="4"/>
      <c r="BI6" s="4"/>
      <c r="BJ6" s="4"/>
      <c r="BK6" s="13"/>
      <c r="BM6" s="3"/>
      <c r="BN6" s="4"/>
      <c r="BO6" s="4"/>
      <c r="BP6" s="4"/>
      <c r="BQ6" s="68"/>
      <c r="BR6" s="69"/>
      <c r="BS6" s="68"/>
      <c r="BT6" s="69"/>
      <c r="BU6" s="68"/>
      <c r="BV6" s="69"/>
      <c r="BW6" s="68"/>
      <c r="BX6" s="69"/>
      <c r="BY6" s="68"/>
      <c r="BZ6" s="69"/>
      <c r="CA6" s="68"/>
      <c r="CB6" s="69"/>
      <c r="CC6" s="4"/>
      <c r="CD6" s="4"/>
      <c r="CE6" s="4"/>
      <c r="CF6" s="13"/>
    </row>
    <row r="7" spans="1:84" ht="18" customHeight="1" x14ac:dyDescent="0.3">
      <c r="A7" s="18"/>
      <c r="B7" s="3"/>
      <c r="C7" s="4"/>
      <c r="D7" s="4"/>
      <c r="E7" s="66"/>
      <c r="F7" s="67"/>
      <c r="G7" s="70">
        <v>5</v>
      </c>
      <c r="H7" s="67"/>
      <c r="I7" s="66"/>
      <c r="J7" s="67"/>
      <c r="K7" s="66"/>
      <c r="L7" s="67"/>
      <c r="M7" s="72">
        <v>6</v>
      </c>
      <c r="N7" s="67"/>
      <c r="O7" s="73">
        <v>3</v>
      </c>
      <c r="P7" s="67"/>
      <c r="Q7" s="71">
        <v>4</v>
      </c>
      <c r="R7" s="67"/>
      <c r="S7" s="4"/>
      <c r="T7" s="4"/>
      <c r="U7" s="13"/>
      <c r="W7" s="3"/>
      <c r="X7" s="4"/>
      <c r="Y7" s="4"/>
      <c r="Z7" s="72">
        <v>6</v>
      </c>
      <c r="AA7" s="67"/>
      <c r="AB7" s="73">
        <v>3</v>
      </c>
      <c r="AC7" s="67"/>
      <c r="AD7" s="75">
        <v>2</v>
      </c>
      <c r="AE7" s="67"/>
      <c r="AF7" s="70">
        <v>5</v>
      </c>
      <c r="AG7" s="67"/>
      <c r="AH7" s="71">
        <v>4</v>
      </c>
      <c r="AI7" s="67"/>
      <c r="AJ7" s="71">
        <v>4</v>
      </c>
      <c r="AK7" s="67"/>
      <c r="AL7" s="66"/>
      <c r="AM7" s="67"/>
      <c r="AN7" s="4"/>
      <c r="AO7" s="4"/>
      <c r="AP7" s="13"/>
      <c r="AR7" s="3"/>
      <c r="AS7" s="4"/>
      <c r="AT7" s="4"/>
      <c r="AU7" s="66"/>
      <c r="AV7" s="67"/>
      <c r="AW7" s="70">
        <v>5</v>
      </c>
      <c r="AX7" s="67"/>
      <c r="AY7" s="66"/>
      <c r="AZ7" s="67"/>
      <c r="BA7" s="66"/>
      <c r="BB7" s="67"/>
      <c r="BC7" s="72">
        <v>6</v>
      </c>
      <c r="BD7" s="67"/>
      <c r="BE7" s="73">
        <v>3</v>
      </c>
      <c r="BF7" s="67"/>
      <c r="BG7" s="71">
        <v>4</v>
      </c>
      <c r="BH7" s="67"/>
      <c r="BI7" s="4"/>
      <c r="BJ7" s="4"/>
      <c r="BK7" s="13"/>
      <c r="BM7" s="3"/>
      <c r="BN7" s="4"/>
      <c r="BO7" s="4"/>
      <c r="BP7" s="66"/>
      <c r="BQ7" s="67"/>
      <c r="BR7" s="71">
        <v>4</v>
      </c>
      <c r="BS7" s="67"/>
      <c r="BT7" s="70">
        <v>5</v>
      </c>
      <c r="BU7" s="67"/>
      <c r="BV7" s="71">
        <v>4</v>
      </c>
      <c r="BW7" s="67"/>
      <c r="BX7" s="75">
        <v>2</v>
      </c>
      <c r="BY7" s="67"/>
      <c r="BZ7" s="66"/>
      <c r="CA7" s="67"/>
      <c r="CB7" s="72">
        <v>6</v>
      </c>
      <c r="CC7" s="67"/>
      <c r="CD7" s="4"/>
      <c r="CE7" s="4"/>
      <c r="CF7" s="13"/>
    </row>
    <row r="8" spans="1:84" ht="18" customHeight="1" x14ac:dyDescent="0.3">
      <c r="A8" s="18"/>
      <c r="B8" s="3"/>
      <c r="C8" s="4"/>
      <c r="D8" s="4"/>
      <c r="E8" s="68"/>
      <c r="F8" s="69"/>
      <c r="G8" s="68"/>
      <c r="H8" s="69"/>
      <c r="I8" s="68"/>
      <c r="J8" s="69"/>
      <c r="K8" s="68"/>
      <c r="L8" s="69"/>
      <c r="M8" s="68"/>
      <c r="N8" s="69"/>
      <c r="O8" s="68"/>
      <c r="P8" s="69"/>
      <c r="Q8" s="68"/>
      <c r="R8" s="69"/>
      <c r="S8" s="4"/>
      <c r="T8" s="4"/>
      <c r="U8" s="13"/>
      <c r="W8" s="3"/>
      <c r="X8" s="4"/>
      <c r="Y8" s="4"/>
      <c r="Z8" s="68"/>
      <c r="AA8" s="69"/>
      <c r="AB8" s="68"/>
      <c r="AC8" s="69"/>
      <c r="AD8" s="68"/>
      <c r="AE8" s="69"/>
      <c r="AF8" s="68"/>
      <c r="AG8" s="69"/>
      <c r="AH8" s="68"/>
      <c r="AI8" s="69"/>
      <c r="AJ8" s="68"/>
      <c r="AK8" s="69"/>
      <c r="AL8" s="68"/>
      <c r="AM8" s="69"/>
      <c r="AN8" s="4"/>
      <c r="AO8" s="4"/>
      <c r="AP8" s="13"/>
      <c r="AR8" s="3"/>
      <c r="AS8" s="4"/>
      <c r="AT8" s="4"/>
      <c r="AU8" s="68"/>
      <c r="AV8" s="69"/>
      <c r="AW8" s="68"/>
      <c r="AX8" s="69"/>
      <c r="AY8" s="68"/>
      <c r="AZ8" s="69"/>
      <c r="BA8" s="68"/>
      <c r="BB8" s="69"/>
      <c r="BC8" s="68"/>
      <c r="BD8" s="69"/>
      <c r="BE8" s="68"/>
      <c r="BF8" s="69"/>
      <c r="BG8" s="68"/>
      <c r="BH8" s="69"/>
      <c r="BI8" s="4"/>
      <c r="BJ8" s="4"/>
      <c r="BK8" s="13"/>
      <c r="BM8" s="3"/>
      <c r="BN8" s="4"/>
      <c r="BO8" s="4"/>
      <c r="BP8" s="68"/>
      <c r="BQ8" s="69"/>
      <c r="BR8" s="68"/>
      <c r="BS8" s="69"/>
      <c r="BT8" s="68"/>
      <c r="BU8" s="69"/>
      <c r="BV8" s="68"/>
      <c r="BW8" s="69"/>
      <c r="BX8" s="68"/>
      <c r="BY8" s="69"/>
      <c r="BZ8" s="68"/>
      <c r="CA8" s="69"/>
      <c r="CB8" s="68"/>
      <c r="CC8" s="69"/>
      <c r="CD8" s="4"/>
      <c r="CE8" s="4"/>
      <c r="CF8" s="13"/>
    </row>
    <row r="9" spans="1:84" ht="18" customHeight="1" x14ac:dyDescent="0.3">
      <c r="A9" s="18"/>
      <c r="B9" s="3"/>
      <c r="C9" s="4"/>
      <c r="D9" s="74">
        <v>1</v>
      </c>
      <c r="E9" s="67"/>
      <c r="F9" s="66"/>
      <c r="G9" s="67"/>
      <c r="H9" s="72">
        <v>6</v>
      </c>
      <c r="I9" s="67"/>
      <c r="J9" s="66"/>
      <c r="K9" s="67"/>
      <c r="L9" s="70">
        <v>5</v>
      </c>
      <c r="M9" s="67"/>
      <c r="N9" s="73">
        <v>3</v>
      </c>
      <c r="O9" s="67"/>
      <c r="P9" s="74">
        <v>1</v>
      </c>
      <c r="Q9" s="67"/>
      <c r="R9" s="66"/>
      <c r="S9" s="67"/>
      <c r="T9" s="4"/>
      <c r="U9" s="13"/>
      <c r="W9" s="3"/>
      <c r="X9" s="4"/>
      <c r="Y9" s="70">
        <v>5</v>
      </c>
      <c r="Z9" s="67"/>
      <c r="AA9" s="72">
        <v>6</v>
      </c>
      <c r="AB9" s="67"/>
      <c r="AC9" s="71">
        <v>4</v>
      </c>
      <c r="AD9" s="67"/>
      <c r="AE9" s="72">
        <v>6</v>
      </c>
      <c r="AF9" s="67"/>
      <c r="AG9" s="66"/>
      <c r="AH9" s="67"/>
      <c r="AI9" s="66"/>
      <c r="AJ9" s="67"/>
      <c r="AK9" s="71">
        <v>4</v>
      </c>
      <c r="AL9" s="67"/>
      <c r="AM9" s="70">
        <v>5</v>
      </c>
      <c r="AN9" s="67"/>
      <c r="AO9" s="4"/>
      <c r="AP9" s="13"/>
      <c r="AR9" s="3"/>
      <c r="AS9" s="4"/>
      <c r="AT9" s="74">
        <v>1</v>
      </c>
      <c r="AU9" s="67"/>
      <c r="AV9" s="66"/>
      <c r="AW9" s="67"/>
      <c r="AX9" s="72">
        <v>6</v>
      </c>
      <c r="AY9" s="67"/>
      <c r="AZ9" s="66"/>
      <c r="BA9" s="67"/>
      <c r="BB9" s="70">
        <v>5</v>
      </c>
      <c r="BC9" s="67"/>
      <c r="BD9" s="73">
        <v>3</v>
      </c>
      <c r="BE9" s="67"/>
      <c r="BF9" s="74">
        <v>1</v>
      </c>
      <c r="BG9" s="67"/>
      <c r="BH9" s="66"/>
      <c r="BI9" s="67"/>
      <c r="BJ9" s="4"/>
      <c r="BK9" s="13"/>
      <c r="BM9" s="3"/>
      <c r="BN9" s="4"/>
      <c r="BO9" s="75">
        <v>2</v>
      </c>
      <c r="BP9" s="67"/>
      <c r="BQ9" s="73">
        <v>3</v>
      </c>
      <c r="BR9" s="67"/>
      <c r="BS9" s="75">
        <v>2</v>
      </c>
      <c r="BT9" s="67"/>
      <c r="BU9" s="71">
        <v>4</v>
      </c>
      <c r="BV9" s="67"/>
      <c r="BW9" s="72">
        <v>6</v>
      </c>
      <c r="BX9" s="67"/>
      <c r="BY9" s="66"/>
      <c r="BZ9" s="67"/>
      <c r="CA9" s="74">
        <v>1</v>
      </c>
      <c r="CB9" s="67"/>
      <c r="CC9" s="66"/>
      <c r="CD9" s="67"/>
      <c r="CE9" s="4"/>
      <c r="CF9" s="13"/>
    </row>
    <row r="10" spans="1:84" ht="18" customHeight="1" x14ac:dyDescent="0.3">
      <c r="A10" s="18"/>
      <c r="B10" s="3"/>
      <c r="C10" s="4"/>
      <c r="D10" s="68"/>
      <c r="E10" s="69"/>
      <c r="F10" s="68"/>
      <c r="G10" s="69"/>
      <c r="H10" s="68"/>
      <c r="I10" s="69"/>
      <c r="J10" s="68"/>
      <c r="K10" s="69"/>
      <c r="L10" s="68"/>
      <c r="M10" s="69"/>
      <c r="N10" s="68"/>
      <c r="O10" s="69"/>
      <c r="P10" s="68"/>
      <c r="Q10" s="69"/>
      <c r="R10" s="68"/>
      <c r="S10" s="69"/>
      <c r="T10" s="4"/>
      <c r="U10" s="13"/>
      <c r="W10" s="3"/>
      <c r="X10" s="4"/>
      <c r="Y10" s="68"/>
      <c r="Z10" s="69"/>
      <c r="AA10" s="68"/>
      <c r="AB10" s="69"/>
      <c r="AC10" s="68"/>
      <c r="AD10" s="69"/>
      <c r="AE10" s="68"/>
      <c r="AF10" s="69"/>
      <c r="AG10" s="68"/>
      <c r="AH10" s="69"/>
      <c r="AI10" s="68"/>
      <c r="AJ10" s="69"/>
      <c r="AK10" s="68"/>
      <c r="AL10" s="69"/>
      <c r="AM10" s="68"/>
      <c r="AN10" s="69"/>
      <c r="AO10" s="4"/>
      <c r="AP10" s="13"/>
      <c r="AR10" s="3"/>
      <c r="AS10" s="4"/>
      <c r="AT10" s="68"/>
      <c r="AU10" s="69"/>
      <c r="AV10" s="68"/>
      <c r="AW10" s="69"/>
      <c r="AX10" s="68"/>
      <c r="AY10" s="69"/>
      <c r="AZ10" s="68"/>
      <c r="BA10" s="69"/>
      <c r="BB10" s="68"/>
      <c r="BC10" s="69"/>
      <c r="BD10" s="68"/>
      <c r="BE10" s="69"/>
      <c r="BF10" s="68"/>
      <c r="BG10" s="69"/>
      <c r="BH10" s="68"/>
      <c r="BI10" s="69"/>
      <c r="BJ10" s="4"/>
      <c r="BK10" s="13"/>
      <c r="BM10" s="3"/>
      <c r="BN10" s="4"/>
      <c r="BO10" s="68"/>
      <c r="BP10" s="69"/>
      <c r="BQ10" s="68"/>
      <c r="BR10" s="69"/>
      <c r="BS10" s="68"/>
      <c r="BT10" s="69"/>
      <c r="BU10" s="68"/>
      <c r="BV10" s="69"/>
      <c r="BW10" s="68"/>
      <c r="BX10" s="69"/>
      <c r="BY10" s="68"/>
      <c r="BZ10" s="69"/>
      <c r="CA10" s="68"/>
      <c r="CB10" s="69"/>
      <c r="CC10" s="68"/>
      <c r="CD10" s="69"/>
      <c r="CE10" s="4"/>
      <c r="CF10" s="13"/>
    </row>
    <row r="11" spans="1:84" ht="18" customHeight="1" x14ac:dyDescent="0.3">
      <c r="A11" s="18"/>
      <c r="B11" s="3"/>
      <c r="C11" s="72">
        <v>6</v>
      </c>
      <c r="D11" s="67"/>
      <c r="E11" s="66"/>
      <c r="F11" s="67"/>
      <c r="G11" s="66"/>
      <c r="H11" s="67"/>
      <c r="I11" s="66"/>
      <c r="J11" s="67"/>
      <c r="K11" s="70">
        <v>5</v>
      </c>
      <c r="L11" s="67"/>
      <c r="M11" s="74">
        <v>1</v>
      </c>
      <c r="N11" s="67"/>
      <c r="O11" s="71">
        <v>4</v>
      </c>
      <c r="P11" s="67"/>
      <c r="Q11" s="74">
        <v>1</v>
      </c>
      <c r="R11" s="67"/>
      <c r="S11" s="66"/>
      <c r="T11" s="67"/>
      <c r="U11" s="13"/>
      <c r="W11" s="3"/>
      <c r="X11" s="66"/>
      <c r="Y11" s="67"/>
      <c r="Z11" s="66"/>
      <c r="AA11" s="67"/>
      <c r="AB11" s="66"/>
      <c r="AC11" s="67"/>
      <c r="AD11" s="66"/>
      <c r="AE11" s="67"/>
      <c r="AF11" s="66"/>
      <c r="AG11" s="67"/>
      <c r="AH11" s="74">
        <v>1</v>
      </c>
      <c r="AI11" s="67"/>
      <c r="AJ11" s="66"/>
      <c r="AK11" s="67"/>
      <c r="AL11" s="74">
        <v>1</v>
      </c>
      <c r="AM11" s="67"/>
      <c r="AN11" s="71">
        <v>4</v>
      </c>
      <c r="AO11" s="67"/>
      <c r="AP11" s="13"/>
      <c r="AR11" s="3"/>
      <c r="AS11" s="72">
        <v>6</v>
      </c>
      <c r="AT11" s="67"/>
      <c r="AU11" s="66"/>
      <c r="AV11" s="67"/>
      <c r="AW11" s="66"/>
      <c r="AX11" s="67"/>
      <c r="AY11" s="66"/>
      <c r="AZ11" s="67"/>
      <c r="BA11" s="70">
        <v>5</v>
      </c>
      <c r="BB11" s="67"/>
      <c r="BC11" s="74">
        <v>1</v>
      </c>
      <c r="BD11" s="67"/>
      <c r="BE11" s="71">
        <v>4</v>
      </c>
      <c r="BF11" s="67"/>
      <c r="BG11" s="74">
        <v>1</v>
      </c>
      <c r="BH11" s="67"/>
      <c r="BI11" s="66"/>
      <c r="BJ11" s="67"/>
      <c r="BK11" s="13"/>
      <c r="BM11" s="3"/>
      <c r="BN11" s="70">
        <v>5</v>
      </c>
      <c r="BO11" s="67"/>
      <c r="BP11" s="66"/>
      <c r="BQ11" s="67"/>
      <c r="BR11" s="72">
        <v>6</v>
      </c>
      <c r="BS11" s="67"/>
      <c r="BT11" s="66"/>
      <c r="BU11" s="67"/>
      <c r="BV11" s="66"/>
      <c r="BW11" s="67"/>
      <c r="BX11" s="70">
        <v>5</v>
      </c>
      <c r="BY11" s="67"/>
      <c r="BZ11" s="70">
        <v>5</v>
      </c>
      <c r="CA11" s="67"/>
      <c r="CB11" s="74">
        <v>1</v>
      </c>
      <c r="CC11" s="67"/>
      <c r="CD11" s="66"/>
      <c r="CE11" s="67"/>
      <c r="CF11" s="13"/>
    </row>
    <row r="12" spans="1:84" ht="18" customHeight="1" x14ac:dyDescent="0.3">
      <c r="A12" s="18"/>
      <c r="B12" s="3"/>
      <c r="C12" s="68"/>
      <c r="D12" s="69"/>
      <c r="E12" s="68"/>
      <c r="F12" s="69"/>
      <c r="G12" s="68"/>
      <c r="H12" s="69"/>
      <c r="I12" s="68"/>
      <c r="J12" s="69"/>
      <c r="K12" s="68"/>
      <c r="L12" s="69"/>
      <c r="M12" s="68"/>
      <c r="N12" s="69"/>
      <c r="O12" s="68"/>
      <c r="P12" s="69"/>
      <c r="Q12" s="68"/>
      <c r="R12" s="69"/>
      <c r="S12" s="68"/>
      <c r="T12" s="69"/>
      <c r="U12" s="13"/>
      <c r="W12" s="3"/>
      <c r="X12" s="68"/>
      <c r="Y12" s="69"/>
      <c r="Z12" s="68"/>
      <c r="AA12" s="69"/>
      <c r="AB12" s="68"/>
      <c r="AC12" s="69"/>
      <c r="AD12" s="68"/>
      <c r="AE12" s="69"/>
      <c r="AF12" s="68"/>
      <c r="AG12" s="69"/>
      <c r="AH12" s="68"/>
      <c r="AI12" s="69"/>
      <c r="AJ12" s="68"/>
      <c r="AK12" s="69"/>
      <c r="AL12" s="68"/>
      <c r="AM12" s="69"/>
      <c r="AN12" s="68"/>
      <c r="AO12" s="69"/>
      <c r="AP12" s="13"/>
      <c r="AR12" s="3"/>
      <c r="AS12" s="68"/>
      <c r="AT12" s="69"/>
      <c r="AU12" s="68"/>
      <c r="AV12" s="69"/>
      <c r="AW12" s="68"/>
      <c r="AX12" s="69"/>
      <c r="AY12" s="68"/>
      <c r="AZ12" s="69"/>
      <c r="BA12" s="68"/>
      <c r="BB12" s="69"/>
      <c r="BC12" s="68"/>
      <c r="BD12" s="69"/>
      <c r="BE12" s="68"/>
      <c r="BF12" s="69"/>
      <c r="BG12" s="68"/>
      <c r="BH12" s="69"/>
      <c r="BI12" s="68"/>
      <c r="BJ12" s="69"/>
      <c r="BK12" s="13"/>
      <c r="BM12" s="3"/>
      <c r="BN12" s="68"/>
      <c r="BO12" s="69"/>
      <c r="BP12" s="68"/>
      <c r="BQ12" s="69"/>
      <c r="BR12" s="68"/>
      <c r="BS12" s="69"/>
      <c r="BT12" s="68"/>
      <c r="BU12" s="69"/>
      <c r="BV12" s="68"/>
      <c r="BW12" s="69"/>
      <c r="BX12" s="68"/>
      <c r="BY12" s="69"/>
      <c r="BZ12" s="68"/>
      <c r="CA12" s="69"/>
      <c r="CB12" s="68"/>
      <c r="CC12" s="69"/>
      <c r="CD12" s="68"/>
      <c r="CE12" s="69"/>
      <c r="CF12" s="13"/>
    </row>
    <row r="13" spans="1:84" ht="18" customHeight="1" x14ac:dyDescent="0.3">
      <c r="A13" s="18"/>
      <c r="B13" s="3"/>
      <c r="C13" s="4"/>
      <c r="D13" s="71">
        <v>4</v>
      </c>
      <c r="E13" s="67"/>
      <c r="F13" s="66"/>
      <c r="G13" s="67"/>
      <c r="H13" s="66"/>
      <c r="I13" s="67"/>
      <c r="J13" s="66"/>
      <c r="K13" s="67"/>
      <c r="L13" s="71">
        <v>4</v>
      </c>
      <c r="M13" s="67"/>
      <c r="N13" s="74">
        <v>1</v>
      </c>
      <c r="O13" s="67"/>
      <c r="P13" s="73">
        <v>3</v>
      </c>
      <c r="Q13" s="67"/>
      <c r="R13" s="66"/>
      <c r="S13" s="67"/>
      <c r="T13" s="4"/>
      <c r="U13" s="13"/>
      <c r="W13" s="3"/>
      <c r="X13" s="4"/>
      <c r="Y13" s="66"/>
      <c r="Z13" s="67"/>
      <c r="AA13" s="66"/>
      <c r="AB13" s="67"/>
      <c r="AC13" s="74">
        <v>1</v>
      </c>
      <c r="AD13" s="67"/>
      <c r="AE13" s="66"/>
      <c r="AF13" s="67"/>
      <c r="AG13" s="66"/>
      <c r="AH13" s="67"/>
      <c r="AI13" s="66"/>
      <c r="AJ13" s="67"/>
      <c r="AK13" s="66"/>
      <c r="AL13" s="67"/>
      <c r="AM13" s="70">
        <v>5</v>
      </c>
      <c r="AN13" s="67"/>
      <c r="AO13" s="4"/>
      <c r="AP13" s="13"/>
      <c r="AR13" s="3"/>
      <c r="AS13" s="4"/>
      <c r="AT13" s="71">
        <v>4</v>
      </c>
      <c r="AU13" s="67"/>
      <c r="AV13" s="66"/>
      <c r="AW13" s="67"/>
      <c r="AX13" s="66"/>
      <c r="AY13" s="67"/>
      <c r="AZ13" s="66"/>
      <c r="BA13" s="67"/>
      <c r="BB13" s="71">
        <v>4</v>
      </c>
      <c r="BC13" s="67"/>
      <c r="BD13" s="74">
        <v>1</v>
      </c>
      <c r="BE13" s="67"/>
      <c r="BF13" s="73">
        <v>3</v>
      </c>
      <c r="BG13" s="67"/>
      <c r="BH13" s="66"/>
      <c r="BI13" s="67"/>
      <c r="BJ13" s="4"/>
      <c r="BK13" s="13"/>
      <c r="BM13" s="3"/>
      <c r="BN13" s="4"/>
      <c r="BO13" s="72">
        <v>6</v>
      </c>
      <c r="BP13" s="67"/>
      <c r="BQ13" s="70">
        <v>5</v>
      </c>
      <c r="BR13" s="67"/>
      <c r="BS13" s="72">
        <v>6</v>
      </c>
      <c r="BT13" s="67"/>
      <c r="BU13" s="66"/>
      <c r="BV13" s="67"/>
      <c r="BW13" s="66"/>
      <c r="BX13" s="67"/>
      <c r="BY13" s="66"/>
      <c r="BZ13" s="67"/>
      <c r="CA13" s="74">
        <v>1</v>
      </c>
      <c r="CB13" s="67"/>
      <c r="CC13" s="66"/>
      <c r="CD13" s="67"/>
      <c r="CE13" s="4"/>
      <c r="CF13" s="13"/>
    </row>
    <row r="14" spans="1:84" ht="18" customHeight="1" x14ac:dyDescent="0.3">
      <c r="A14" s="18"/>
      <c r="B14" s="3"/>
      <c r="C14" s="4"/>
      <c r="D14" s="68"/>
      <c r="E14" s="69"/>
      <c r="F14" s="68"/>
      <c r="G14" s="69"/>
      <c r="H14" s="68"/>
      <c r="I14" s="69"/>
      <c r="J14" s="68"/>
      <c r="K14" s="69"/>
      <c r="L14" s="68"/>
      <c r="M14" s="69"/>
      <c r="N14" s="68"/>
      <c r="O14" s="69"/>
      <c r="P14" s="68"/>
      <c r="Q14" s="69"/>
      <c r="R14" s="68"/>
      <c r="S14" s="69"/>
      <c r="T14" s="4"/>
      <c r="U14" s="13"/>
      <c r="W14" s="3"/>
      <c r="X14" s="4"/>
      <c r="Y14" s="68"/>
      <c r="Z14" s="69"/>
      <c r="AA14" s="68"/>
      <c r="AB14" s="69"/>
      <c r="AC14" s="68"/>
      <c r="AD14" s="69"/>
      <c r="AE14" s="68"/>
      <c r="AF14" s="69"/>
      <c r="AG14" s="68"/>
      <c r="AH14" s="69"/>
      <c r="AI14" s="68"/>
      <c r="AJ14" s="69"/>
      <c r="AK14" s="68"/>
      <c r="AL14" s="69"/>
      <c r="AM14" s="68"/>
      <c r="AN14" s="69"/>
      <c r="AO14" s="4"/>
      <c r="AP14" s="13"/>
      <c r="AR14" s="3"/>
      <c r="AS14" s="4"/>
      <c r="AT14" s="68"/>
      <c r="AU14" s="69"/>
      <c r="AV14" s="68"/>
      <c r="AW14" s="69"/>
      <c r="AX14" s="68"/>
      <c r="AY14" s="69"/>
      <c r="AZ14" s="68"/>
      <c r="BA14" s="69"/>
      <c r="BB14" s="68"/>
      <c r="BC14" s="69"/>
      <c r="BD14" s="68"/>
      <c r="BE14" s="69"/>
      <c r="BF14" s="68"/>
      <c r="BG14" s="69"/>
      <c r="BH14" s="68"/>
      <c r="BI14" s="69"/>
      <c r="BJ14" s="4"/>
      <c r="BK14" s="13"/>
      <c r="BM14" s="3"/>
      <c r="BN14" s="4"/>
      <c r="BO14" s="68"/>
      <c r="BP14" s="69"/>
      <c r="BQ14" s="68"/>
      <c r="BR14" s="69"/>
      <c r="BS14" s="68"/>
      <c r="BT14" s="69"/>
      <c r="BU14" s="68"/>
      <c r="BV14" s="69"/>
      <c r="BW14" s="68"/>
      <c r="BX14" s="69"/>
      <c r="BY14" s="68"/>
      <c r="BZ14" s="69"/>
      <c r="CA14" s="68"/>
      <c r="CB14" s="69"/>
      <c r="CC14" s="68"/>
      <c r="CD14" s="69"/>
      <c r="CE14" s="4"/>
      <c r="CF14" s="13"/>
    </row>
    <row r="15" spans="1:84" ht="18" customHeight="1" x14ac:dyDescent="0.3">
      <c r="A15" s="18"/>
      <c r="B15" s="3"/>
      <c r="C15" s="4"/>
      <c r="D15" s="4"/>
      <c r="E15" s="72">
        <v>6</v>
      </c>
      <c r="F15" s="67"/>
      <c r="G15" s="75">
        <v>2</v>
      </c>
      <c r="H15" s="67"/>
      <c r="I15" s="66"/>
      <c r="J15" s="67"/>
      <c r="K15" s="75">
        <v>2</v>
      </c>
      <c r="L15" s="67"/>
      <c r="M15" s="74">
        <v>1</v>
      </c>
      <c r="N15" s="67"/>
      <c r="O15" s="71">
        <v>4</v>
      </c>
      <c r="P15" s="67"/>
      <c r="Q15" s="66"/>
      <c r="R15" s="67"/>
      <c r="S15" s="4"/>
      <c r="T15" s="4"/>
      <c r="U15" s="13"/>
      <c r="W15" s="3"/>
      <c r="X15" s="4"/>
      <c r="Y15" s="4"/>
      <c r="Z15" s="75">
        <v>2</v>
      </c>
      <c r="AA15" s="67"/>
      <c r="AB15" s="74">
        <v>1</v>
      </c>
      <c r="AC15" s="67"/>
      <c r="AD15" s="73">
        <v>3</v>
      </c>
      <c r="AE15" s="67"/>
      <c r="AF15" s="72">
        <v>6</v>
      </c>
      <c r="AG15" s="67"/>
      <c r="AH15" s="73">
        <v>3</v>
      </c>
      <c r="AI15" s="67"/>
      <c r="AJ15" s="74">
        <v>1</v>
      </c>
      <c r="AK15" s="67"/>
      <c r="AL15" s="71">
        <v>4</v>
      </c>
      <c r="AM15" s="67"/>
      <c r="AN15" s="4"/>
      <c r="AO15" s="4"/>
      <c r="AP15" s="13"/>
      <c r="AR15" s="3"/>
      <c r="AS15" s="4"/>
      <c r="AT15" s="4"/>
      <c r="AU15" s="72">
        <v>6</v>
      </c>
      <c r="AV15" s="67"/>
      <c r="AW15" s="75">
        <v>2</v>
      </c>
      <c r="AX15" s="67"/>
      <c r="AY15" s="66"/>
      <c r="AZ15" s="67"/>
      <c r="BA15" s="75">
        <v>2</v>
      </c>
      <c r="BB15" s="67"/>
      <c r="BC15" s="74">
        <v>1</v>
      </c>
      <c r="BD15" s="67"/>
      <c r="BE15" s="71">
        <v>4</v>
      </c>
      <c r="BF15" s="67"/>
      <c r="BG15" s="66"/>
      <c r="BH15" s="67"/>
      <c r="BI15" s="4"/>
      <c r="BJ15" s="4"/>
      <c r="BK15" s="13"/>
      <c r="BM15" s="3"/>
      <c r="BN15" s="4"/>
      <c r="BO15" s="4"/>
      <c r="BP15" s="66"/>
      <c r="BQ15" s="67"/>
      <c r="BR15" s="70">
        <v>5</v>
      </c>
      <c r="BS15" s="67"/>
      <c r="BT15" s="73">
        <v>3</v>
      </c>
      <c r="BU15" s="67"/>
      <c r="BV15" s="70">
        <v>5</v>
      </c>
      <c r="BW15" s="67"/>
      <c r="BX15" s="71">
        <v>4</v>
      </c>
      <c r="BY15" s="67"/>
      <c r="BZ15" s="70">
        <v>5</v>
      </c>
      <c r="CA15" s="67"/>
      <c r="CB15" s="71">
        <v>4</v>
      </c>
      <c r="CC15" s="67"/>
      <c r="CD15" s="4"/>
      <c r="CE15" s="4"/>
      <c r="CF15" s="13"/>
    </row>
    <row r="16" spans="1:84" ht="18" customHeight="1" x14ac:dyDescent="0.3">
      <c r="A16" s="18"/>
      <c r="B16" s="3"/>
      <c r="C16" s="4"/>
      <c r="D16" s="4"/>
      <c r="E16" s="68"/>
      <c r="F16" s="69"/>
      <c r="G16" s="68"/>
      <c r="H16" s="69"/>
      <c r="I16" s="68"/>
      <c r="J16" s="69"/>
      <c r="K16" s="68"/>
      <c r="L16" s="69"/>
      <c r="M16" s="68"/>
      <c r="N16" s="69"/>
      <c r="O16" s="68"/>
      <c r="P16" s="69"/>
      <c r="Q16" s="68"/>
      <c r="R16" s="69"/>
      <c r="S16" s="4"/>
      <c r="T16" s="4"/>
      <c r="U16" s="13"/>
      <c r="W16" s="3"/>
      <c r="X16" s="4"/>
      <c r="Y16" s="4"/>
      <c r="Z16" s="68"/>
      <c r="AA16" s="69"/>
      <c r="AB16" s="68"/>
      <c r="AC16" s="69"/>
      <c r="AD16" s="68"/>
      <c r="AE16" s="69"/>
      <c r="AF16" s="68"/>
      <c r="AG16" s="69"/>
      <c r="AH16" s="68"/>
      <c r="AI16" s="69"/>
      <c r="AJ16" s="68"/>
      <c r="AK16" s="69"/>
      <c r="AL16" s="68"/>
      <c r="AM16" s="69"/>
      <c r="AN16" s="4"/>
      <c r="AO16" s="4"/>
      <c r="AP16" s="13"/>
      <c r="AR16" s="3"/>
      <c r="AS16" s="4"/>
      <c r="AT16" s="4"/>
      <c r="AU16" s="68"/>
      <c r="AV16" s="69"/>
      <c r="AW16" s="68"/>
      <c r="AX16" s="69"/>
      <c r="AY16" s="68"/>
      <c r="AZ16" s="69"/>
      <c r="BA16" s="68"/>
      <c r="BB16" s="69"/>
      <c r="BC16" s="68"/>
      <c r="BD16" s="69"/>
      <c r="BE16" s="68"/>
      <c r="BF16" s="69"/>
      <c r="BG16" s="68"/>
      <c r="BH16" s="69"/>
      <c r="BI16" s="4"/>
      <c r="BJ16" s="4"/>
      <c r="BK16" s="13"/>
      <c r="BM16" s="3"/>
      <c r="BN16" s="4"/>
      <c r="BO16" s="4"/>
      <c r="BP16" s="68"/>
      <c r="BQ16" s="69"/>
      <c r="BR16" s="68"/>
      <c r="BS16" s="69"/>
      <c r="BT16" s="68"/>
      <c r="BU16" s="69"/>
      <c r="BV16" s="68"/>
      <c r="BW16" s="69"/>
      <c r="BX16" s="68"/>
      <c r="BY16" s="69"/>
      <c r="BZ16" s="68"/>
      <c r="CA16" s="69"/>
      <c r="CB16" s="68"/>
      <c r="CC16" s="69"/>
      <c r="CD16" s="4"/>
      <c r="CE16" s="4"/>
      <c r="CF16" s="13"/>
    </row>
    <row r="17" spans="1:103" ht="18" customHeight="1" x14ac:dyDescent="0.3">
      <c r="A17" s="18"/>
      <c r="B17" s="3"/>
      <c r="C17" s="4"/>
      <c r="D17" s="4"/>
      <c r="E17" s="4"/>
      <c r="F17" s="70">
        <v>5</v>
      </c>
      <c r="G17" s="67"/>
      <c r="H17" s="66"/>
      <c r="I17" s="67"/>
      <c r="J17" s="66"/>
      <c r="K17" s="67"/>
      <c r="L17" s="74">
        <v>1</v>
      </c>
      <c r="M17" s="67"/>
      <c r="N17" s="74">
        <v>1</v>
      </c>
      <c r="O17" s="67"/>
      <c r="P17" s="71">
        <v>4</v>
      </c>
      <c r="Q17" s="67"/>
      <c r="R17" s="4"/>
      <c r="S17" s="4"/>
      <c r="T17" s="4"/>
      <c r="U17" s="13"/>
      <c r="W17" s="3"/>
      <c r="X17" s="4"/>
      <c r="Y17" s="4"/>
      <c r="Z17" s="4"/>
      <c r="AA17" s="66"/>
      <c r="AB17" s="67"/>
      <c r="AC17" s="75">
        <v>2</v>
      </c>
      <c r="AD17" s="67"/>
      <c r="AE17" s="72">
        <v>6</v>
      </c>
      <c r="AF17" s="67"/>
      <c r="AG17" s="74">
        <v>1</v>
      </c>
      <c r="AH17" s="67"/>
      <c r="AI17" s="66"/>
      <c r="AJ17" s="67"/>
      <c r="AK17" s="73">
        <v>3</v>
      </c>
      <c r="AL17" s="67"/>
      <c r="AM17" s="4"/>
      <c r="AN17" s="4"/>
      <c r="AO17" s="4"/>
      <c r="AP17" s="13"/>
      <c r="AR17" s="3"/>
      <c r="AS17" s="4"/>
      <c r="AT17" s="4"/>
      <c r="AU17" s="4"/>
      <c r="AV17" s="70">
        <v>5</v>
      </c>
      <c r="AW17" s="67"/>
      <c r="AX17" s="66"/>
      <c r="AY17" s="67"/>
      <c r="AZ17" s="66"/>
      <c r="BA17" s="67"/>
      <c r="BB17" s="74">
        <v>1</v>
      </c>
      <c r="BC17" s="67"/>
      <c r="BD17" s="74">
        <v>1</v>
      </c>
      <c r="BE17" s="67"/>
      <c r="BF17" s="71">
        <v>4</v>
      </c>
      <c r="BG17" s="67"/>
      <c r="BH17" s="4"/>
      <c r="BI17" s="4"/>
      <c r="BJ17" s="4"/>
      <c r="BK17" s="13"/>
      <c r="BM17" s="3"/>
      <c r="BN17" s="4"/>
      <c r="BO17" s="4"/>
      <c r="BP17" s="4"/>
      <c r="BQ17" s="71">
        <v>4</v>
      </c>
      <c r="BR17" s="67"/>
      <c r="BS17" s="66"/>
      <c r="BT17" s="67"/>
      <c r="BU17" s="66"/>
      <c r="BV17" s="67"/>
      <c r="BW17" s="72">
        <v>6</v>
      </c>
      <c r="BX17" s="67"/>
      <c r="BY17" s="66"/>
      <c r="BZ17" s="67"/>
      <c r="CA17" s="71">
        <v>4</v>
      </c>
      <c r="CB17" s="67"/>
      <c r="CC17" s="4"/>
      <c r="CD17" s="4"/>
      <c r="CE17" s="4"/>
      <c r="CF17" s="13"/>
    </row>
    <row r="18" spans="1:103" ht="18" customHeight="1" x14ac:dyDescent="0.3">
      <c r="A18" s="18"/>
      <c r="B18" s="3"/>
      <c r="C18" s="4"/>
      <c r="D18" s="4"/>
      <c r="E18" s="4"/>
      <c r="F18" s="68"/>
      <c r="G18" s="69"/>
      <c r="H18" s="68"/>
      <c r="I18" s="69"/>
      <c r="J18" s="68"/>
      <c r="K18" s="69"/>
      <c r="L18" s="68"/>
      <c r="M18" s="69"/>
      <c r="N18" s="68"/>
      <c r="O18" s="69"/>
      <c r="P18" s="68"/>
      <c r="Q18" s="69"/>
      <c r="R18" s="4"/>
      <c r="S18" s="4"/>
      <c r="T18" s="4"/>
      <c r="U18" s="13"/>
      <c r="W18" s="3"/>
      <c r="X18" s="4"/>
      <c r="Y18" s="4"/>
      <c r="Z18" s="4"/>
      <c r="AA18" s="68"/>
      <c r="AB18" s="69"/>
      <c r="AC18" s="68"/>
      <c r="AD18" s="69"/>
      <c r="AE18" s="68"/>
      <c r="AF18" s="69"/>
      <c r="AG18" s="68"/>
      <c r="AH18" s="69"/>
      <c r="AI18" s="68"/>
      <c r="AJ18" s="69"/>
      <c r="AK18" s="68"/>
      <c r="AL18" s="69"/>
      <c r="AM18" s="4"/>
      <c r="AN18" s="4"/>
      <c r="AO18" s="4"/>
      <c r="AP18" s="13"/>
      <c r="AR18" s="3"/>
      <c r="AS18" s="4"/>
      <c r="AT18" s="4"/>
      <c r="AU18" s="4"/>
      <c r="AV18" s="68"/>
      <c r="AW18" s="69"/>
      <c r="AX18" s="68"/>
      <c r="AY18" s="69"/>
      <c r="AZ18" s="68"/>
      <c r="BA18" s="69"/>
      <c r="BB18" s="68"/>
      <c r="BC18" s="69"/>
      <c r="BD18" s="68"/>
      <c r="BE18" s="69"/>
      <c r="BF18" s="68"/>
      <c r="BG18" s="69"/>
      <c r="BH18" s="4"/>
      <c r="BI18" s="4"/>
      <c r="BJ18" s="4"/>
      <c r="BK18" s="13"/>
      <c r="BM18" s="3"/>
      <c r="BN18" s="4"/>
      <c r="BO18" s="4"/>
      <c r="BP18" s="4"/>
      <c r="BQ18" s="68"/>
      <c r="BR18" s="69"/>
      <c r="BS18" s="68"/>
      <c r="BT18" s="69"/>
      <c r="BU18" s="68"/>
      <c r="BV18" s="69"/>
      <c r="BW18" s="68"/>
      <c r="BX18" s="69"/>
      <c r="BY18" s="68"/>
      <c r="BZ18" s="69"/>
      <c r="CA18" s="68"/>
      <c r="CB18" s="69"/>
      <c r="CC18" s="4"/>
      <c r="CD18" s="4"/>
      <c r="CE18" s="4"/>
      <c r="CF18" s="13"/>
    </row>
    <row r="19" spans="1:103" ht="18" customHeight="1" x14ac:dyDescent="0.3">
      <c r="B19" s="3"/>
      <c r="C19" s="4"/>
      <c r="D19" s="4"/>
      <c r="E19" s="4"/>
      <c r="F19" s="4"/>
      <c r="G19" s="75">
        <v>2</v>
      </c>
      <c r="H19" s="67"/>
      <c r="I19" s="73">
        <v>3</v>
      </c>
      <c r="J19" s="67"/>
      <c r="K19" s="70">
        <v>5</v>
      </c>
      <c r="L19" s="67"/>
      <c r="M19" s="73">
        <v>3</v>
      </c>
      <c r="N19" s="67"/>
      <c r="O19" s="71">
        <v>4</v>
      </c>
      <c r="P19" s="67"/>
      <c r="Q19" s="4"/>
      <c r="R19" s="4"/>
      <c r="S19" s="4"/>
      <c r="T19" s="4"/>
      <c r="U19" s="13"/>
      <c r="W19" s="3"/>
      <c r="X19" s="4"/>
      <c r="Y19" s="4"/>
      <c r="Z19" s="4"/>
      <c r="AA19" s="4"/>
      <c r="AB19" s="75">
        <v>2</v>
      </c>
      <c r="AC19" s="67"/>
      <c r="AD19" s="71">
        <v>4</v>
      </c>
      <c r="AE19" s="67"/>
      <c r="AF19" s="66"/>
      <c r="AG19" s="67"/>
      <c r="AH19" s="74">
        <v>1</v>
      </c>
      <c r="AI19" s="67"/>
      <c r="AJ19" s="71">
        <v>4</v>
      </c>
      <c r="AK19" s="67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75">
        <v>2</v>
      </c>
      <c r="AX19" s="67"/>
      <c r="AY19" s="73">
        <v>3</v>
      </c>
      <c r="AZ19" s="67"/>
      <c r="BA19" s="70">
        <v>5</v>
      </c>
      <c r="BB19" s="67"/>
      <c r="BC19" s="73">
        <v>3</v>
      </c>
      <c r="BD19" s="67"/>
      <c r="BE19" s="71">
        <v>4</v>
      </c>
      <c r="BF19" s="67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70">
        <v>5</v>
      </c>
      <c r="BS19" s="67"/>
      <c r="BT19" s="66"/>
      <c r="BU19" s="67"/>
      <c r="BV19" s="71">
        <v>4</v>
      </c>
      <c r="BW19" s="67"/>
      <c r="BX19" s="74">
        <v>1</v>
      </c>
      <c r="BY19" s="67"/>
      <c r="BZ19" s="74">
        <v>1</v>
      </c>
      <c r="CA19" s="67"/>
      <c r="CB19" s="4"/>
      <c r="CC19" s="4"/>
      <c r="CD19" s="4"/>
      <c r="CE19" s="4"/>
      <c r="CF19" s="13"/>
    </row>
    <row r="20" spans="1:103" ht="18" customHeight="1" x14ac:dyDescent="0.3">
      <c r="B20" s="3"/>
      <c r="C20" s="4"/>
      <c r="D20" s="4"/>
      <c r="E20" s="4"/>
      <c r="F20" s="4"/>
      <c r="G20" s="68"/>
      <c r="H20" s="69"/>
      <c r="I20" s="68"/>
      <c r="J20" s="69"/>
      <c r="K20" s="68"/>
      <c r="L20" s="69"/>
      <c r="M20" s="68"/>
      <c r="N20" s="69"/>
      <c r="O20" s="68"/>
      <c r="P20" s="69"/>
      <c r="Q20" s="4"/>
      <c r="R20" s="4"/>
      <c r="S20" s="4"/>
      <c r="T20" s="4"/>
      <c r="U20" s="13"/>
      <c r="W20" s="3"/>
      <c r="X20" s="4"/>
      <c r="Y20" s="4"/>
      <c r="Z20" s="4"/>
      <c r="AA20" s="4"/>
      <c r="AB20" s="68"/>
      <c r="AC20" s="69"/>
      <c r="AD20" s="68"/>
      <c r="AE20" s="69"/>
      <c r="AF20" s="68"/>
      <c r="AG20" s="69"/>
      <c r="AH20" s="68"/>
      <c r="AI20" s="69"/>
      <c r="AJ20" s="68"/>
      <c r="AK20" s="69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68"/>
      <c r="AX20" s="69"/>
      <c r="AY20" s="68"/>
      <c r="AZ20" s="69"/>
      <c r="BA20" s="68"/>
      <c r="BB20" s="69"/>
      <c r="BC20" s="68"/>
      <c r="BD20" s="69"/>
      <c r="BE20" s="68"/>
      <c r="BF20" s="69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68"/>
      <c r="BS20" s="69"/>
      <c r="BT20" s="68"/>
      <c r="BU20" s="69"/>
      <c r="BV20" s="68"/>
      <c r="BW20" s="69"/>
      <c r="BX20" s="68"/>
      <c r="BY20" s="69"/>
      <c r="BZ20" s="68"/>
      <c r="CA20" s="69"/>
      <c r="CB20" s="4"/>
      <c r="CC20" s="4"/>
      <c r="CD20" s="4"/>
      <c r="CE20" s="4"/>
      <c r="CF20" s="13"/>
      <c r="CY20" s="35"/>
    </row>
    <row r="21" spans="1:103" ht="18" customHeight="1" thickBot="1" x14ac:dyDescent="0.3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3">
      <c r="A22" s="18"/>
      <c r="B22" s="11"/>
      <c r="C22" s="33"/>
      <c r="D22" s="33"/>
      <c r="E22" s="76" t="s">
        <v>87</v>
      </c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8"/>
      <c r="S22" s="33"/>
      <c r="T22" s="33"/>
      <c r="U22" s="13"/>
      <c r="W22" s="11"/>
      <c r="X22" s="33"/>
      <c r="Y22" s="33"/>
      <c r="Z22" s="76" t="s">
        <v>86</v>
      </c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8"/>
      <c r="AN22" s="33"/>
      <c r="AO22" s="33"/>
      <c r="AP22" s="13"/>
      <c r="AR22" s="11"/>
      <c r="AS22" s="33"/>
      <c r="AT22" s="33"/>
      <c r="AU22" s="76" t="s">
        <v>87</v>
      </c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8"/>
      <c r="BI22" s="33"/>
      <c r="BJ22" s="33"/>
      <c r="BK22" s="13"/>
      <c r="BM22" s="11"/>
      <c r="BN22" s="33"/>
      <c r="BO22" s="33"/>
      <c r="BP22" s="76" t="s">
        <v>88</v>
      </c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8"/>
      <c r="CD22" s="33"/>
      <c r="CE22" s="33"/>
      <c r="CF22" s="13"/>
    </row>
    <row r="23" spans="1:103" ht="18" customHeight="1" thickBot="1" x14ac:dyDescent="0.35">
      <c r="A23" s="18"/>
      <c r="B23" s="11"/>
      <c r="C23" s="33"/>
      <c r="D23" s="33"/>
      <c r="E23" s="79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1"/>
      <c r="S23" s="33"/>
      <c r="T23" s="33"/>
      <c r="U23" s="13"/>
      <c r="W23" s="11"/>
      <c r="X23" s="33"/>
      <c r="Y23" s="33"/>
      <c r="Z23" s="79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1"/>
      <c r="AN23" s="33"/>
      <c r="AO23" s="33"/>
      <c r="AP23" s="13"/>
      <c r="AR23" s="11"/>
      <c r="AS23" s="33"/>
      <c r="AT23" s="33"/>
      <c r="AU23" s="79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1"/>
      <c r="BI23" s="33"/>
      <c r="BJ23" s="33"/>
      <c r="BK23" s="13"/>
      <c r="BM23" s="11"/>
      <c r="BN23" s="33"/>
      <c r="BO23" s="33"/>
      <c r="BP23" s="79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1"/>
      <c r="CD23" s="33"/>
      <c r="CE23" s="33"/>
      <c r="CF23" s="13"/>
    </row>
    <row r="24" spans="1:103" ht="18" customHeight="1" thickBot="1" x14ac:dyDescent="0.35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3">
      <c r="A25" s="18"/>
    </row>
    <row r="26" spans="1:103" ht="18" customHeight="1" x14ac:dyDescent="0.3">
      <c r="A26" s="18"/>
    </row>
    <row r="27" spans="1:103" ht="18" customHeight="1" x14ac:dyDescent="0.3">
      <c r="A27" s="18"/>
      <c r="AB27" s="35"/>
      <c r="AE27" s="35"/>
    </row>
    <row r="28" spans="1:103" ht="18" customHeight="1" x14ac:dyDescent="0.3">
      <c r="A28" s="18"/>
    </row>
    <row r="29" spans="1:103" ht="18" customHeight="1" x14ac:dyDescent="0.3">
      <c r="A29" s="18"/>
    </row>
    <row r="30" spans="1:103" ht="18" customHeight="1" x14ac:dyDescent="0.3">
      <c r="A30" s="18"/>
    </row>
    <row r="31" spans="1:103" ht="18" customHeight="1" x14ac:dyDescent="0.3">
      <c r="A31" s="18"/>
    </row>
    <row r="32" spans="1:103" ht="18" customHeight="1" x14ac:dyDescent="0.3">
      <c r="A32" s="18"/>
    </row>
    <row r="33" spans="1:1" ht="18" customHeight="1" x14ac:dyDescent="0.3">
      <c r="A33" s="18"/>
    </row>
    <row r="34" spans="1:1" ht="18" customHeight="1" x14ac:dyDescent="0.3">
      <c r="A34" s="18"/>
    </row>
    <row r="35" spans="1:1" ht="18" customHeight="1" x14ac:dyDescent="0.3">
      <c r="A35" s="18"/>
    </row>
    <row r="36" spans="1:1" ht="18" customHeight="1" x14ac:dyDescent="0.3">
      <c r="A36" s="18"/>
    </row>
    <row r="37" spans="1:1" ht="18" customHeight="1" x14ac:dyDescent="0.3">
      <c r="A37" s="18"/>
    </row>
    <row r="38" spans="1:1" ht="18" customHeight="1" x14ac:dyDescent="0.3">
      <c r="A38" s="18"/>
    </row>
    <row r="41" spans="1:1" ht="18" customHeight="1" x14ac:dyDescent="0.3">
      <c r="A41" s="18"/>
    </row>
    <row r="42" spans="1:1" ht="18" customHeight="1" x14ac:dyDescent="0.3">
      <c r="A42" s="18"/>
    </row>
    <row r="43" spans="1:1" ht="18" customHeight="1" x14ac:dyDescent="0.3">
      <c r="A43" s="18"/>
    </row>
    <row r="44" spans="1:1" ht="18" customHeight="1" x14ac:dyDescent="0.3">
      <c r="A44" s="18"/>
    </row>
    <row r="45" spans="1:1" ht="18" customHeight="1" x14ac:dyDescent="0.3">
      <c r="A45" s="18"/>
    </row>
    <row r="46" spans="1:1" ht="18" customHeight="1" x14ac:dyDescent="0.3">
      <c r="A46" s="18"/>
    </row>
    <row r="47" spans="1:1" ht="18" customHeight="1" x14ac:dyDescent="0.3">
      <c r="A47" s="18"/>
    </row>
    <row r="48" spans="1:1" ht="18" customHeight="1" x14ac:dyDescent="0.3">
      <c r="A48" s="18"/>
    </row>
    <row r="49" spans="1:1" ht="18" customHeight="1" x14ac:dyDescent="0.3">
      <c r="A49" s="18"/>
    </row>
    <row r="50" spans="1:1" ht="18" customHeight="1" x14ac:dyDescent="0.3">
      <c r="A50" s="18"/>
    </row>
    <row r="51" spans="1:1" ht="18" customHeight="1" x14ac:dyDescent="0.3">
      <c r="A51" s="18"/>
    </row>
    <row r="52" spans="1:1" ht="18" customHeight="1" x14ac:dyDescent="0.3">
      <c r="A52" s="18"/>
    </row>
    <row r="53" spans="1:1" ht="18" customHeight="1" x14ac:dyDescent="0.3">
      <c r="A53" s="18"/>
    </row>
    <row r="54" spans="1:1" ht="18" customHeight="1" x14ac:dyDescent="0.3">
      <c r="A54" s="18"/>
    </row>
    <row r="55" spans="1:1" ht="18" customHeight="1" x14ac:dyDescent="0.3">
      <c r="A55" s="18"/>
    </row>
    <row r="56" spans="1:1" ht="18" customHeight="1" x14ac:dyDescent="0.3">
      <c r="A56" s="18"/>
    </row>
    <row r="57" spans="1:1" ht="18" customHeight="1" x14ac:dyDescent="0.3">
      <c r="A57" s="18"/>
    </row>
    <row r="58" spans="1:1" ht="18" customHeight="1" x14ac:dyDescent="0.3">
      <c r="A58" s="18"/>
    </row>
    <row r="62" spans="1:1" ht="18" customHeight="1" x14ac:dyDescent="0.3">
      <c r="A62" s="18"/>
    </row>
    <row r="63" spans="1:1" ht="18" customHeight="1" x14ac:dyDescent="0.3">
      <c r="A63" s="18"/>
    </row>
    <row r="64" spans="1:1" ht="18" customHeight="1" x14ac:dyDescent="0.3">
      <c r="A64" s="18"/>
    </row>
    <row r="65" spans="1:1" ht="18" customHeight="1" x14ac:dyDescent="0.3">
      <c r="A65" s="18"/>
    </row>
    <row r="66" spans="1:1" ht="18" customHeight="1" x14ac:dyDescent="0.3">
      <c r="A66" s="18"/>
    </row>
    <row r="67" spans="1:1" ht="18" customHeight="1" x14ac:dyDescent="0.3">
      <c r="A67" s="18"/>
    </row>
    <row r="68" spans="1:1" ht="18" customHeight="1" x14ac:dyDescent="0.3">
      <c r="A68" s="18"/>
    </row>
    <row r="69" spans="1:1" ht="18" customHeight="1" x14ac:dyDescent="0.3">
      <c r="A69" s="18"/>
    </row>
    <row r="70" spans="1:1" ht="18" customHeight="1" x14ac:dyDescent="0.3">
      <c r="A70" s="18"/>
    </row>
    <row r="71" spans="1:1" ht="18" customHeight="1" x14ac:dyDescent="0.3">
      <c r="A71" s="18"/>
    </row>
    <row r="72" spans="1:1" ht="18" customHeight="1" x14ac:dyDescent="0.3">
      <c r="A72" s="18"/>
    </row>
    <row r="73" spans="1:1" ht="18" customHeight="1" x14ac:dyDescent="0.3">
      <c r="A73" s="18"/>
    </row>
    <row r="74" spans="1:1" ht="18" customHeight="1" x14ac:dyDescent="0.3">
      <c r="A74" s="18"/>
    </row>
    <row r="75" spans="1:1" ht="18" customHeight="1" x14ac:dyDescent="0.3">
      <c r="A75" s="18"/>
    </row>
    <row r="76" spans="1:1" ht="18" customHeight="1" x14ac:dyDescent="0.3">
      <c r="A76" s="18"/>
    </row>
    <row r="77" spans="1:1" ht="18" customHeight="1" x14ac:dyDescent="0.3">
      <c r="A77" s="18"/>
    </row>
    <row r="78" spans="1:1" ht="18" customHeight="1" x14ac:dyDescent="0.3">
      <c r="A78" s="18"/>
    </row>
  </sheetData>
  <mergeCells count="248"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C11:BD12"/>
    <mergeCell ref="BE11:BF12"/>
    <mergeCell ref="BG11:BH12"/>
    <mergeCell ref="BB9:BC10"/>
    <mergeCell ref="BD9:BE10"/>
    <mergeCell ref="BF9:BG10"/>
    <mergeCell ref="BH9:BI10"/>
    <mergeCell ref="BA11:BB12"/>
    <mergeCell ref="N9:O10"/>
    <mergeCell ref="P9:Q10"/>
    <mergeCell ref="R9:S10"/>
    <mergeCell ref="P13:Q14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E15:F16"/>
    <mergeCell ref="G15:H16"/>
    <mergeCell ref="I15:J16"/>
    <mergeCell ref="K15:L16"/>
    <mergeCell ref="M15:N16"/>
    <mergeCell ref="O15:P16"/>
    <mergeCell ref="Q15:R16"/>
    <mergeCell ref="AH3:AI4"/>
    <mergeCell ref="AD15:AE16"/>
    <mergeCell ref="AF15:AG16"/>
    <mergeCell ref="AH15:AI16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R13:S14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F17:BG18"/>
    <mergeCell ref="BG15:BH16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BH13:BI14"/>
    <mergeCell ref="BI11:BJ12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BY17:BZ18"/>
    <mergeCell ref="CA17:CB18"/>
    <mergeCell ref="BR19:BS20"/>
    <mergeCell ref="BT19:BU20"/>
    <mergeCell ref="BV19:BW20"/>
    <mergeCell ref="BX19:BY20"/>
    <mergeCell ref="BZ19:CA20"/>
    <mergeCell ref="BP22:CC23"/>
    <mergeCell ref="BX11:BY12"/>
    <mergeCell ref="BZ11:CA12"/>
    <mergeCell ref="CB11:CC12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80"/>
  <sheetViews>
    <sheetView zoomScale="55" zoomScaleNormal="55" workbookViewId="0">
      <selection activeCell="DA38" sqref="DA38:DN39"/>
    </sheetView>
  </sheetViews>
  <sheetFormatPr defaultColWidth="2.6640625" defaultRowHeight="18" customHeight="1" x14ac:dyDescent="0.3"/>
  <sheetData>
    <row r="1" spans="1:136" ht="18" customHeight="1" thickBo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3">
      <c r="A2" s="18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 s="20"/>
      <c r="S2" s="23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5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5"/>
      <c r="BA2" s="23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5"/>
      <c r="BR2" s="23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5"/>
      <c r="CI2" s="23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Z2" s="23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5"/>
      <c r="DQ2" s="23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5"/>
    </row>
    <row r="3" spans="1:136" ht="18" customHeight="1" x14ac:dyDescent="0.3">
      <c r="A3" s="18"/>
      <c r="B3" s="26"/>
      <c r="C3" s="21"/>
      <c r="D3" s="22"/>
      <c r="E3" s="22"/>
      <c r="F3" s="66"/>
      <c r="G3" s="67"/>
      <c r="H3" s="66"/>
      <c r="I3" s="67"/>
      <c r="J3" s="66"/>
      <c r="K3" s="67"/>
      <c r="L3" s="66"/>
      <c r="M3" s="67"/>
      <c r="N3" s="22"/>
      <c r="O3" s="22"/>
      <c r="P3" s="21"/>
      <c r="Q3" s="27"/>
      <c r="R3" s="20"/>
      <c r="S3" s="26"/>
      <c r="T3" s="21"/>
      <c r="U3" s="22"/>
      <c r="V3" s="22"/>
      <c r="W3" s="66"/>
      <c r="X3" s="67"/>
      <c r="Y3" s="66"/>
      <c r="Z3" s="67"/>
      <c r="AA3" s="66"/>
      <c r="AB3" s="67"/>
      <c r="AC3" s="66"/>
      <c r="AD3" s="67"/>
      <c r="AE3" s="22"/>
      <c r="AF3" s="22"/>
      <c r="AG3" s="21"/>
      <c r="AH3" s="27"/>
      <c r="AJ3" s="26"/>
      <c r="AK3" s="21"/>
      <c r="AL3" s="22"/>
      <c r="AM3" s="22"/>
      <c r="AN3" s="66"/>
      <c r="AO3" s="67"/>
      <c r="AP3" s="66"/>
      <c r="AQ3" s="67"/>
      <c r="AR3" s="66"/>
      <c r="AS3" s="67"/>
      <c r="AT3" s="66"/>
      <c r="AU3" s="67"/>
      <c r="AV3" s="22"/>
      <c r="AW3" s="22"/>
      <c r="AX3" s="21"/>
      <c r="AY3" s="27"/>
      <c r="BA3" s="26"/>
      <c r="BB3" s="21"/>
      <c r="BC3" s="22"/>
      <c r="BD3" s="22"/>
      <c r="BE3" s="66"/>
      <c r="BF3" s="67"/>
      <c r="BG3" s="66"/>
      <c r="BH3" s="67"/>
      <c r="BI3" s="66"/>
      <c r="BJ3" s="67"/>
      <c r="BK3" s="66"/>
      <c r="BL3" s="67"/>
      <c r="BM3" s="22"/>
      <c r="BN3" s="22"/>
      <c r="BO3" s="21"/>
      <c r="BP3" s="27"/>
      <c r="BR3" s="26"/>
      <c r="BS3" s="21"/>
      <c r="BT3" s="22"/>
      <c r="BU3" s="22"/>
      <c r="BV3" s="66"/>
      <c r="BW3" s="67"/>
      <c r="BX3" s="66"/>
      <c r="BY3" s="67"/>
      <c r="BZ3" s="66"/>
      <c r="CA3" s="67"/>
      <c r="CB3" s="66"/>
      <c r="CC3" s="67"/>
      <c r="CD3" s="22"/>
      <c r="CE3" s="22"/>
      <c r="CF3" s="21"/>
      <c r="CG3" s="27"/>
      <c r="CI3" s="26"/>
      <c r="CJ3" s="21"/>
      <c r="CK3" s="22"/>
      <c r="CL3" s="22"/>
      <c r="CM3" s="66"/>
      <c r="CN3" s="67"/>
      <c r="CO3" s="66"/>
      <c r="CP3" s="67"/>
      <c r="CQ3" s="66"/>
      <c r="CR3" s="67"/>
      <c r="CS3" s="66"/>
      <c r="CT3" s="67"/>
      <c r="CU3" s="22"/>
      <c r="CV3" s="22"/>
      <c r="CW3" s="21"/>
      <c r="CX3" s="27"/>
      <c r="CZ3" s="26"/>
      <c r="DA3" s="21"/>
      <c r="DB3" s="22"/>
      <c r="DC3" s="22"/>
      <c r="DD3" s="66"/>
      <c r="DE3" s="67"/>
      <c r="DF3" s="66"/>
      <c r="DG3" s="67"/>
      <c r="DH3" s="66"/>
      <c r="DI3" s="67"/>
      <c r="DJ3" s="66"/>
      <c r="DK3" s="67"/>
      <c r="DL3" s="22"/>
      <c r="DM3" s="22"/>
      <c r="DN3" s="21"/>
      <c r="DO3" s="27"/>
      <c r="DQ3" s="26"/>
      <c r="DR3" s="21"/>
      <c r="DS3" s="22"/>
      <c r="DT3" s="22"/>
      <c r="DU3" s="66"/>
      <c r="DV3" s="67"/>
      <c r="DW3" s="66"/>
      <c r="DX3" s="67"/>
      <c r="DY3" s="66"/>
      <c r="DZ3" s="67"/>
      <c r="EA3" s="66"/>
      <c r="EB3" s="67"/>
      <c r="EC3" s="22"/>
      <c r="ED3" s="22"/>
      <c r="EE3" s="21"/>
      <c r="EF3" s="27"/>
    </row>
    <row r="4" spans="1:136" ht="18" customHeight="1" x14ac:dyDescent="0.3">
      <c r="A4" s="18"/>
      <c r="B4" s="26"/>
      <c r="C4" s="21"/>
      <c r="D4" s="22"/>
      <c r="E4" s="22"/>
      <c r="F4" s="68"/>
      <c r="G4" s="69"/>
      <c r="H4" s="68"/>
      <c r="I4" s="69"/>
      <c r="J4" s="68"/>
      <c r="K4" s="69"/>
      <c r="L4" s="68"/>
      <c r="M4" s="69"/>
      <c r="N4" s="22"/>
      <c r="O4" s="22"/>
      <c r="P4" s="21"/>
      <c r="Q4" s="27"/>
      <c r="R4" s="20"/>
      <c r="S4" s="26"/>
      <c r="T4" s="21"/>
      <c r="U4" s="22"/>
      <c r="V4" s="22"/>
      <c r="W4" s="68"/>
      <c r="X4" s="69"/>
      <c r="Y4" s="68"/>
      <c r="Z4" s="69"/>
      <c r="AA4" s="68"/>
      <c r="AB4" s="69"/>
      <c r="AC4" s="68"/>
      <c r="AD4" s="69"/>
      <c r="AE4" s="22"/>
      <c r="AF4" s="22"/>
      <c r="AG4" s="21"/>
      <c r="AH4" s="27"/>
      <c r="AJ4" s="26"/>
      <c r="AK4" s="21"/>
      <c r="AL4" s="22"/>
      <c r="AM4" s="22"/>
      <c r="AN4" s="68"/>
      <c r="AO4" s="69"/>
      <c r="AP4" s="68"/>
      <c r="AQ4" s="69"/>
      <c r="AR4" s="68"/>
      <c r="AS4" s="69"/>
      <c r="AT4" s="68"/>
      <c r="AU4" s="69"/>
      <c r="AV4" s="22"/>
      <c r="AW4" s="22"/>
      <c r="AX4" s="21"/>
      <c r="AY4" s="27"/>
      <c r="BA4" s="26"/>
      <c r="BB4" s="21"/>
      <c r="BC4" s="22"/>
      <c r="BD4" s="22"/>
      <c r="BE4" s="68"/>
      <c r="BF4" s="69"/>
      <c r="BG4" s="68"/>
      <c r="BH4" s="69"/>
      <c r="BI4" s="68"/>
      <c r="BJ4" s="69"/>
      <c r="BK4" s="68"/>
      <c r="BL4" s="69"/>
      <c r="BM4" s="22"/>
      <c r="BN4" s="22"/>
      <c r="BO4" s="21"/>
      <c r="BP4" s="27"/>
      <c r="BR4" s="26"/>
      <c r="BS4" s="21"/>
      <c r="BT4" s="22"/>
      <c r="BU4" s="22"/>
      <c r="BV4" s="68"/>
      <c r="BW4" s="69"/>
      <c r="BX4" s="68"/>
      <c r="BY4" s="69"/>
      <c r="BZ4" s="68"/>
      <c r="CA4" s="69"/>
      <c r="CB4" s="68"/>
      <c r="CC4" s="69"/>
      <c r="CD4" s="22"/>
      <c r="CE4" s="22"/>
      <c r="CF4" s="21"/>
      <c r="CG4" s="27"/>
      <c r="CI4" s="26"/>
      <c r="CJ4" s="21"/>
      <c r="CK4" s="22"/>
      <c r="CL4" s="22"/>
      <c r="CM4" s="68"/>
      <c r="CN4" s="69"/>
      <c r="CO4" s="68"/>
      <c r="CP4" s="69"/>
      <c r="CQ4" s="68"/>
      <c r="CR4" s="69"/>
      <c r="CS4" s="68"/>
      <c r="CT4" s="69"/>
      <c r="CU4" s="22"/>
      <c r="CV4" s="22"/>
      <c r="CW4" s="21"/>
      <c r="CX4" s="27"/>
      <c r="CZ4" s="26"/>
      <c r="DA4" s="21"/>
      <c r="DB4" s="22"/>
      <c r="DC4" s="22"/>
      <c r="DD4" s="68"/>
      <c r="DE4" s="69"/>
      <c r="DF4" s="68"/>
      <c r="DG4" s="69"/>
      <c r="DH4" s="68"/>
      <c r="DI4" s="69"/>
      <c r="DJ4" s="68"/>
      <c r="DK4" s="69"/>
      <c r="DL4" s="22"/>
      <c r="DM4" s="22"/>
      <c r="DN4" s="21"/>
      <c r="DO4" s="27"/>
      <c r="DQ4" s="26"/>
      <c r="DR4" s="21"/>
      <c r="DS4" s="22"/>
      <c r="DT4" s="22"/>
      <c r="DU4" s="68"/>
      <c r="DV4" s="69"/>
      <c r="DW4" s="68"/>
      <c r="DX4" s="69"/>
      <c r="DY4" s="68"/>
      <c r="DZ4" s="69"/>
      <c r="EA4" s="68"/>
      <c r="EB4" s="69"/>
      <c r="EC4" s="22"/>
      <c r="ED4" s="22"/>
      <c r="EE4" s="21"/>
      <c r="EF4" s="27"/>
    </row>
    <row r="5" spans="1:136" ht="18" customHeight="1" x14ac:dyDescent="0.3">
      <c r="A5" s="18"/>
      <c r="B5" s="26"/>
      <c r="C5" s="22"/>
      <c r="D5" s="22"/>
      <c r="E5" s="66"/>
      <c r="F5" s="67"/>
      <c r="G5" s="66"/>
      <c r="H5" s="67"/>
      <c r="I5" s="66"/>
      <c r="J5" s="67"/>
      <c r="K5" s="66"/>
      <c r="L5" s="67"/>
      <c r="M5" s="66"/>
      <c r="N5" s="67"/>
      <c r="O5" s="22"/>
      <c r="P5" s="22"/>
      <c r="Q5" s="27"/>
      <c r="R5" s="20"/>
      <c r="S5" s="26"/>
      <c r="T5" s="22"/>
      <c r="U5" s="22"/>
      <c r="V5" s="66"/>
      <c r="W5" s="67"/>
      <c r="X5" s="66"/>
      <c r="Y5" s="67"/>
      <c r="Z5" s="66"/>
      <c r="AA5" s="67"/>
      <c r="AB5" s="66"/>
      <c r="AC5" s="67"/>
      <c r="AD5" s="66"/>
      <c r="AE5" s="67"/>
      <c r="AF5" s="22"/>
      <c r="AG5" s="22"/>
      <c r="AH5" s="27"/>
      <c r="AJ5" s="26"/>
      <c r="AK5" s="22"/>
      <c r="AL5" s="22"/>
      <c r="AM5" s="66"/>
      <c r="AN5" s="67"/>
      <c r="AO5" s="66"/>
      <c r="AP5" s="67"/>
      <c r="AQ5" s="66"/>
      <c r="AR5" s="67"/>
      <c r="AS5" s="74">
        <v>1</v>
      </c>
      <c r="AT5" s="67"/>
      <c r="AU5" s="66"/>
      <c r="AV5" s="67"/>
      <c r="AW5" s="22"/>
      <c r="AX5" s="22"/>
      <c r="AY5" s="27"/>
      <c r="BA5" s="26"/>
      <c r="BB5" s="22"/>
      <c r="BC5" s="22"/>
      <c r="BD5" s="66"/>
      <c r="BE5" s="67"/>
      <c r="BF5" s="66"/>
      <c r="BG5" s="67"/>
      <c r="BH5" s="66"/>
      <c r="BI5" s="67"/>
      <c r="BJ5" s="66"/>
      <c r="BK5" s="67"/>
      <c r="BL5" s="66"/>
      <c r="BM5" s="67"/>
      <c r="BN5" s="22"/>
      <c r="BO5" s="22"/>
      <c r="BP5" s="27"/>
      <c r="BR5" s="26"/>
      <c r="BS5" s="22"/>
      <c r="BT5" s="22"/>
      <c r="BU5" s="66"/>
      <c r="BV5" s="67"/>
      <c r="BW5" s="66"/>
      <c r="BX5" s="67"/>
      <c r="BY5" s="66"/>
      <c r="BZ5" s="67"/>
      <c r="CA5" s="66"/>
      <c r="CB5" s="67"/>
      <c r="CC5" s="66"/>
      <c r="CD5" s="67"/>
      <c r="CE5" s="22"/>
      <c r="CF5" s="22"/>
      <c r="CG5" s="27"/>
      <c r="CI5" s="26"/>
      <c r="CJ5" s="22"/>
      <c r="CK5" s="22"/>
      <c r="CL5" s="66"/>
      <c r="CM5" s="67"/>
      <c r="CN5" s="66"/>
      <c r="CO5" s="67"/>
      <c r="CP5" s="66"/>
      <c r="CQ5" s="67"/>
      <c r="CR5" s="66"/>
      <c r="CS5" s="67"/>
      <c r="CT5" s="66"/>
      <c r="CU5" s="67"/>
      <c r="CV5" s="22"/>
      <c r="CW5" s="22"/>
      <c r="CX5" s="27"/>
      <c r="CZ5" s="26"/>
      <c r="DA5" s="22"/>
      <c r="DB5" s="22"/>
      <c r="DC5" s="66"/>
      <c r="DD5" s="67"/>
      <c r="DE5" s="66"/>
      <c r="DF5" s="67"/>
      <c r="DG5" s="66"/>
      <c r="DH5" s="67"/>
      <c r="DI5" s="66"/>
      <c r="DJ5" s="67"/>
      <c r="DK5" s="66"/>
      <c r="DL5" s="67"/>
      <c r="DM5" s="22"/>
      <c r="DN5" s="22"/>
      <c r="DO5" s="27"/>
      <c r="DQ5" s="26"/>
      <c r="DR5" s="22"/>
      <c r="DS5" s="22"/>
      <c r="DT5" s="66"/>
      <c r="DU5" s="67"/>
      <c r="DV5" s="66"/>
      <c r="DW5" s="67"/>
      <c r="DX5" s="66"/>
      <c r="DY5" s="67"/>
      <c r="DZ5" s="66"/>
      <c r="EA5" s="67"/>
      <c r="EB5" s="66"/>
      <c r="EC5" s="67"/>
      <c r="ED5" s="22"/>
      <c r="EE5" s="22"/>
      <c r="EF5" s="27"/>
    </row>
    <row r="6" spans="1:136" ht="18" customHeight="1" x14ac:dyDescent="0.3">
      <c r="A6" s="18"/>
      <c r="B6" s="26"/>
      <c r="C6" s="22"/>
      <c r="D6" s="22"/>
      <c r="E6" s="68"/>
      <c r="F6" s="69"/>
      <c r="G6" s="68"/>
      <c r="H6" s="69"/>
      <c r="I6" s="68"/>
      <c r="J6" s="69"/>
      <c r="K6" s="68"/>
      <c r="L6" s="69"/>
      <c r="M6" s="68"/>
      <c r="N6" s="69"/>
      <c r="O6" s="22"/>
      <c r="P6" s="22"/>
      <c r="Q6" s="27"/>
      <c r="R6" s="20"/>
      <c r="S6" s="26"/>
      <c r="T6" s="22"/>
      <c r="U6" s="22"/>
      <c r="V6" s="68"/>
      <c r="W6" s="69"/>
      <c r="X6" s="68"/>
      <c r="Y6" s="69"/>
      <c r="Z6" s="68"/>
      <c r="AA6" s="69"/>
      <c r="AB6" s="68"/>
      <c r="AC6" s="69"/>
      <c r="AD6" s="68"/>
      <c r="AE6" s="69"/>
      <c r="AF6" s="22"/>
      <c r="AG6" s="22"/>
      <c r="AH6" s="27"/>
      <c r="AJ6" s="26"/>
      <c r="AK6" s="22"/>
      <c r="AL6" s="22"/>
      <c r="AM6" s="68"/>
      <c r="AN6" s="69"/>
      <c r="AO6" s="68"/>
      <c r="AP6" s="69"/>
      <c r="AQ6" s="68"/>
      <c r="AR6" s="69"/>
      <c r="AS6" s="68"/>
      <c r="AT6" s="69"/>
      <c r="AU6" s="68"/>
      <c r="AV6" s="69"/>
      <c r="AW6" s="22"/>
      <c r="AX6" s="22"/>
      <c r="AY6" s="27"/>
      <c r="BA6" s="26"/>
      <c r="BB6" s="22"/>
      <c r="BC6" s="22"/>
      <c r="BD6" s="68"/>
      <c r="BE6" s="69"/>
      <c r="BF6" s="68"/>
      <c r="BG6" s="69"/>
      <c r="BH6" s="68"/>
      <c r="BI6" s="69"/>
      <c r="BJ6" s="68"/>
      <c r="BK6" s="69"/>
      <c r="BL6" s="68"/>
      <c r="BM6" s="69"/>
      <c r="BN6" s="22"/>
      <c r="BO6" s="22"/>
      <c r="BP6" s="27"/>
      <c r="BR6" s="26"/>
      <c r="BS6" s="22"/>
      <c r="BT6" s="22"/>
      <c r="BU6" s="68"/>
      <c r="BV6" s="69"/>
      <c r="BW6" s="68"/>
      <c r="BX6" s="69"/>
      <c r="BY6" s="68"/>
      <c r="BZ6" s="69"/>
      <c r="CA6" s="68"/>
      <c r="CB6" s="69"/>
      <c r="CC6" s="68"/>
      <c r="CD6" s="69"/>
      <c r="CE6" s="22"/>
      <c r="CF6" s="22"/>
      <c r="CG6" s="27"/>
      <c r="CI6" s="26"/>
      <c r="CJ6" s="22"/>
      <c r="CK6" s="22"/>
      <c r="CL6" s="68"/>
      <c r="CM6" s="69"/>
      <c r="CN6" s="68"/>
      <c r="CO6" s="69"/>
      <c r="CP6" s="68"/>
      <c r="CQ6" s="69"/>
      <c r="CR6" s="68"/>
      <c r="CS6" s="69"/>
      <c r="CT6" s="68"/>
      <c r="CU6" s="69"/>
      <c r="CV6" s="22"/>
      <c r="CW6" s="22"/>
      <c r="CX6" s="27"/>
      <c r="CZ6" s="26"/>
      <c r="DA6" s="22"/>
      <c r="DB6" s="22"/>
      <c r="DC6" s="68"/>
      <c r="DD6" s="69"/>
      <c r="DE6" s="68"/>
      <c r="DF6" s="69"/>
      <c r="DG6" s="68"/>
      <c r="DH6" s="69"/>
      <c r="DI6" s="68"/>
      <c r="DJ6" s="69"/>
      <c r="DK6" s="68"/>
      <c r="DL6" s="69"/>
      <c r="DM6" s="22"/>
      <c r="DN6" s="22"/>
      <c r="DO6" s="27"/>
      <c r="DQ6" s="26"/>
      <c r="DR6" s="22"/>
      <c r="DS6" s="22"/>
      <c r="DT6" s="68"/>
      <c r="DU6" s="69"/>
      <c r="DV6" s="68"/>
      <c r="DW6" s="69"/>
      <c r="DX6" s="68"/>
      <c r="DY6" s="69"/>
      <c r="DZ6" s="68"/>
      <c r="EA6" s="69"/>
      <c r="EB6" s="68"/>
      <c r="EC6" s="69"/>
      <c r="ED6" s="22"/>
      <c r="EE6" s="22"/>
      <c r="EF6" s="27"/>
    </row>
    <row r="7" spans="1:136" ht="18" customHeight="1" x14ac:dyDescent="0.3">
      <c r="A7" s="18"/>
      <c r="B7" s="26"/>
      <c r="C7" s="22"/>
      <c r="D7" s="66"/>
      <c r="E7" s="67"/>
      <c r="F7" s="66"/>
      <c r="G7" s="67"/>
      <c r="H7" s="66"/>
      <c r="I7" s="67"/>
      <c r="J7" s="66"/>
      <c r="K7" s="67"/>
      <c r="L7" s="66"/>
      <c r="M7" s="67"/>
      <c r="N7" s="66"/>
      <c r="O7" s="67"/>
      <c r="P7" s="22"/>
      <c r="Q7" s="27"/>
      <c r="R7" s="20"/>
      <c r="S7" s="26"/>
      <c r="T7" s="22"/>
      <c r="U7" s="66"/>
      <c r="V7" s="67"/>
      <c r="W7" s="66"/>
      <c r="X7" s="67"/>
      <c r="Y7" s="66"/>
      <c r="Z7" s="67"/>
      <c r="AA7" s="66"/>
      <c r="AB7" s="67"/>
      <c r="AC7" s="66"/>
      <c r="AD7" s="67"/>
      <c r="AE7" s="66"/>
      <c r="AF7" s="67"/>
      <c r="AG7" s="22"/>
      <c r="AH7" s="27"/>
      <c r="AJ7" s="26"/>
      <c r="AK7" s="22"/>
      <c r="AL7" s="66"/>
      <c r="AM7" s="67"/>
      <c r="AN7" s="66"/>
      <c r="AO7" s="67"/>
      <c r="AP7" s="66"/>
      <c r="AQ7" s="67"/>
      <c r="AR7" s="74">
        <v>1</v>
      </c>
      <c r="AS7" s="67"/>
      <c r="AT7" s="66"/>
      <c r="AU7" s="67"/>
      <c r="AV7" s="66"/>
      <c r="AW7" s="67"/>
      <c r="AX7" s="22"/>
      <c r="AY7" s="27"/>
      <c r="BA7" s="26"/>
      <c r="BB7" s="22"/>
      <c r="BC7" s="66"/>
      <c r="BD7" s="67"/>
      <c r="BE7" s="66"/>
      <c r="BF7" s="67"/>
      <c r="BG7" s="74">
        <v>1</v>
      </c>
      <c r="BH7" s="67"/>
      <c r="BI7" s="66"/>
      <c r="BJ7" s="67"/>
      <c r="BK7" s="66"/>
      <c r="BL7" s="67"/>
      <c r="BM7" s="66"/>
      <c r="BN7" s="67"/>
      <c r="BO7" s="22"/>
      <c r="BP7" s="27"/>
      <c r="BR7" s="26"/>
      <c r="BS7" s="22"/>
      <c r="BT7" s="66"/>
      <c r="BU7" s="67"/>
      <c r="BV7" s="66"/>
      <c r="BW7" s="67"/>
      <c r="BX7" s="66"/>
      <c r="BY7" s="67"/>
      <c r="BZ7" s="70">
        <v>5</v>
      </c>
      <c r="CA7" s="67"/>
      <c r="CB7" s="66"/>
      <c r="CC7" s="67"/>
      <c r="CD7" s="66"/>
      <c r="CE7" s="67"/>
      <c r="CF7" s="22"/>
      <c r="CG7" s="27"/>
      <c r="CI7" s="26"/>
      <c r="CJ7" s="22"/>
      <c r="CK7" s="66"/>
      <c r="CL7" s="67"/>
      <c r="CM7" s="66"/>
      <c r="CN7" s="67"/>
      <c r="CO7" s="70">
        <v>5</v>
      </c>
      <c r="CP7" s="67"/>
      <c r="CQ7" s="66"/>
      <c r="CR7" s="67"/>
      <c r="CS7" s="66"/>
      <c r="CT7" s="67"/>
      <c r="CU7" s="66"/>
      <c r="CV7" s="67"/>
      <c r="CW7" s="22"/>
      <c r="CX7" s="27"/>
      <c r="CZ7" s="26"/>
      <c r="DA7" s="22"/>
      <c r="DB7" s="66"/>
      <c r="DC7" s="67"/>
      <c r="DD7" s="66"/>
      <c r="DE7" s="67"/>
      <c r="DF7" s="66"/>
      <c r="DG7" s="67"/>
      <c r="DH7" s="66"/>
      <c r="DI7" s="67"/>
      <c r="DJ7" s="66"/>
      <c r="DK7" s="67"/>
      <c r="DL7" s="66"/>
      <c r="DM7" s="67"/>
      <c r="DN7" s="22"/>
      <c r="DO7" s="27"/>
      <c r="DQ7" s="26"/>
      <c r="DR7" s="22"/>
      <c r="DS7" s="66"/>
      <c r="DT7" s="67"/>
      <c r="DU7" s="66"/>
      <c r="DV7" s="67"/>
      <c r="DW7" s="66"/>
      <c r="DX7" s="67"/>
      <c r="DY7" s="66"/>
      <c r="DZ7" s="67"/>
      <c r="EA7" s="66"/>
      <c r="EB7" s="67"/>
      <c r="EC7" s="66"/>
      <c r="ED7" s="67"/>
      <c r="EE7" s="22"/>
      <c r="EF7" s="27"/>
    </row>
    <row r="8" spans="1:136" ht="18" customHeight="1" x14ac:dyDescent="0.3">
      <c r="A8" s="18"/>
      <c r="B8" s="26"/>
      <c r="C8" s="22"/>
      <c r="D8" s="68"/>
      <c r="E8" s="69"/>
      <c r="F8" s="68"/>
      <c r="G8" s="69"/>
      <c r="H8" s="68"/>
      <c r="I8" s="69"/>
      <c r="J8" s="68"/>
      <c r="K8" s="69"/>
      <c r="L8" s="68"/>
      <c r="M8" s="69"/>
      <c r="N8" s="68"/>
      <c r="O8" s="69"/>
      <c r="P8" s="22"/>
      <c r="Q8" s="27"/>
      <c r="R8" s="20"/>
      <c r="S8" s="26"/>
      <c r="T8" s="22"/>
      <c r="U8" s="68"/>
      <c r="V8" s="69"/>
      <c r="W8" s="68"/>
      <c r="X8" s="69"/>
      <c r="Y8" s="68"/>
      <c r="Z8" s="69"/>
      <c r="AA8" s="68"/>
      <c r="AB8" s="69"/>
      <c r="AC8" s="68"/>
      <c r="AD8" s="69"/>
      <c r="AE8" s="68"/>
      <c r="AF8" s="69"/>
      <c r="AG8" s="22"/>
      <c r="AH8" s="27"/>
      <c r="AJ8" s="26"/>
      <c r="AK8" s="22"/>
      <c r="AL8" s="68"/>
      <c r="AM8" s="69"/>
      <c r="AN8" s="68"/>
      <c r="AO8" s="69"/>
      <c r="AP8" s="68"/>
      <c r="AQ8" s="69"/>
      <c r="AR8" s="68"/>
      <c r="AS8" s="69"/>
      <c r="AT8" s="68"/>
      <c r="AU8" s="69"/>
      <c r="AV8" s="68"/>
      <c r="AW8" s="69"/>
      <c r="AX8" s="22"/>
      <c r="AY8" s="27"/>
      <c r="BA8" s="26"/>
      <c r="BB8" s="22"/>
      <c r="BC8" s="68"/>
      <c r="BD8" s="69"/>
      <c r="BE8" s="68"/>
      <c r="BF8" s="69"/>
      <c r="BG8" s="68"/>
      <c r="BH8" s="69"/>
      <c r="BI8" s="68"/>
      <c r="BJ8" s="69"/>
      <c r="BK8" s="68"/>
      <c r="BL8" s="69"/>
      <c r="BM8" s="68"/>
      <c r="BN8" s="69"/>
      <c r="BO8" s="22"/>
      <c r="BP8" s="27"/>
      <c r="BR8" s="26"/>
      <c r="BS8" s="22"/>
      <c r="BT8" s="68"/>
      <c r="BU8" s="69"/>
      <c r="BV8" s="68"/>
      <c r="BW8" s="69"/>
      <c r="BX8" s="68"/>
      <c r="BY8" s="69"/>
      <c r="BZ8" s="68"/>
      <c r="CA8" s="69"/>
      <c r="CB8" s="68"/>
      <c r="CC8" s="69"/>
      <c r="CD8" s="68"/>
      <c r="CE8" s="69"/>
      <c r="CF8" s="22"/>
      <c r="CG8" s="27"/>
      <c r="CI8" s="26"/>
      <c r="CJ8" s="22"/>
      <c r="CK8" s="68"/>
      <c r="CL8" s="69"/>
      <c r="CM8" s="68"/>
      <c r="CN8" s="69"/>
      <c r="CO8" s="68"/>
      <c r="CP8" s="69"/>
      <c r="CQ8" s="68"/>
      <c r="CR8" s="69"/>
      <c r="CS8" s="68"/>
      <c r="CT8" s="69"/>
      <c r="CU8" s="68"/>
      <c r="CV8" s="69"/>
      <c r="CW8" s="22"/>
      <c r="CX8" s="27"/>
      <c r="CZ8" s="26"/>
      <c r="DA8" s="22"/>
      <c r="DB8" s="68"/>
      <c r="DC8" s="69"/>
      <c r="DD8" s="68"/>
      <c r="DE8" s="69"/>
      <c r="DF8" s="68"/>
      <c r="DG8" s="69"/>
      <c r="DH8" s="68"/>
      <c r="DI8" s="69"/>
      <c r="DJ8" s="68"/>
      <c r="DK8" s="69"/>
      <c r="DL8" s="68"/>
      <c r="DM8" s="69"/>
      <c r="DN8" s="22"/>
      <c r="DO8" s="27"/>
      <c r="DQ8" s="26"/>
      <c r="DR8" s="22"/>
      <c r="DS8" s="68"/>
      <c r="DT8" s="69"/>
      <c r="DU8" s="68"/>
      <c r="DV8" s="69"/>
      <c r="DW8" s="68"/>
      <c r="DX8" s="69"/>
      <c r="DY8" s="68"/>
      <c r="DZ8" s="69"/>
      <c r="EA8" s="68"/>
      <c r="EB8" s="69"/>
      <c r="EC8" s="68"/>
      <c r="ED8" s="69"/>
      <c r="EE8" s="22"/>
      <c r="EF8" s="27"/>
    </row>
    <row r="9" spans="1:136" ht="18" customHeight="1" x14ac:dyDescent="0.3">
      <c r="A9" s="18"/>
      <c r="B9" s="26"/>
      <c r="C9" s="66"/>
      <c r="D9" s="67"/>
      <c r="E9" s="66"/>
      <c r="F9" s="67"/>
      <c r="G9" s="66"/>
      <c r="H9" s="67"/>
      <c r="I9" s="72">
        <v>6</v>
      </c>
      <c r="J9" s="67"/>
      <c r="K9" s="66"/>
      <c r="L9" s="67"/>
      <c r="M9" s="66"/>
      <c r="N9" s="67"/>
      <c r="O9" s="66"/>
      <c r="P9" s="67"/>
      <c r="Q9" s="27"/>
      <c r="R9" s="20"/>
      <c r="S9" s="26"/>
      <c r="T9" s="66"/>
      <c r="U9" s="67"/>
      <c r="V9" s="66"/>
      <c r="W9" s="67"/>
      <c r="X9" s="74">
        <v>1</v>
      </c>
      <c r="Y9" s="67"/>
      <c r="Z9" s="74">
        <v>1</v>
      </c>
      <c r="AA9" s="67"/>
      <c r="AB9" s="74">
        <v>1</v>
      </c>
      <c r="AC9" s="67"/>
      <c r="AD9" s="74">
        <v>1</v>
      </c>
      <c r="AE9" s="67"/>
      <c r="AF9" s="66"/>
      <c r="AG9" s="67"/>
      <c r="AH9" s="27"/>
      <c r="AJ9" s="26"/>
      <c r="AK9" s="66"/>
      <c r="AL9" s="67"/>
      <c r="AM9" s="66"/>
      <c r="AN9" s="67"/>
      <c r="AO9" s="66"/>
      <c r="AP9" s="67"/>
      <c r="AQ9" s="74">
        <v>1</v>
      </c>
      <c r="AR9" s="67"/>
      <c r="AS9" s="66"/>
      <c r="AT9" s="67"/>
      <c r="AU9" s="66"/>
      <c r="AV9" s="67"/>
      <c r="AW9" s="66"/>
      <c r="AX9" s="67"/>
      <c r="AY9" s="27"/>
      <c r="BA9" s="26"/>
      <c r="BB9" s="66"/>
      <c r="BC9" s="67"/>
      <c r="BD9" s="66"/>
      <c r="BE9" s="67"/>
      <c r="BF9" s="66"/>
      <c r="BG9" s="67"/>
      <c r="BH9" s="74">
        <v>1</v>
      </c>
      <c r="BI9" s="67"/>
      <c r="BJ9" s="66"/>
      <c r="BK9" s="67"/>
      <c r="BL9" s="66"/>
      <c r="BM9" s="67"/>
      <c r="BN9" s="66"/>
      <c r="BO9" s="67"/>
      <c r="BP9" s="27"/>
      <c r="BR9" s="26"/>
      <c r="BS9" s="66"/>
      <c r="BT9" s="67"/>
      <c r="BU9" s="66"/>
      <c r="BV9" s="67"/>
      <c r="BW9" s="70">
        <v>5</v>
      </c>
      <c r="BX9" s="67"/>
      <c r="BY9" s="70">
        <v>5</v>
      </c>
      <c r="BZ9" s="67"/>
      <c r="CA9" s="70">
        <v>5</v>
      </c>
      <c r="CB9" s="67"/>
      <c r="CC9" s="66"/>
      <c r="CD9" s="67"/>
      <c r="CE9" s="66"/>
      <c r="CF9" s="67"/>
      <c r="CG9" s="27"/>
      <c r="CI9" s="26"/>
      <c r="CJ9" s="66"/>
      <c r="CK9" s="67"/>
      <c r="CL9" s="66"/>
      <c r="CM9" s="67"/>
      <c r="CN9" s="70">
        <v>5</v>
      </c>
      <c r="CO9" s="67"/>
      <c r="CP9" s="70">
        <v>5</v>
      </c>
      <c r="CQ9" s="67"/>
      <c r="CR9" s="70">
        <v>5</v>
      </c>
      <c r="CS9" s="67"/>
      <c r="CT9" s="66"/>
      <c r="CU9" s="67"/>
      <c r="CV9" s="66"/>
      <c r="CW9" s="67"/>
      <c r="CX9" s="27"/>
      <c r="CZ9" s="26"/>
      <c r="DA9" s="66"/>
      <c r="DB9" s="67"/>
      <c r="DC9" s="66"/>
      <c r="DD9" s="67"/>
      <c r="DE9" s="70">
        <v>5</v>
      </c>
      <c r="DF9" s="67"/>
      <c r="DG9" s="70">
        <v>5</v>
      </c>
      <c r="DH9" s="67"/>
      <c r="DI9" s="70">
        <v>5</v>
      </c>
      <c r="DJ9" s="67"/>
      <c r="DK9" s="66"/>
      <c r="DL9" s="67"/>
      <c r="DM9" s="66"/>
      <c r="DN9" s="67"/>
      <c r="DO9" s="27"/>
      <c r="DQ9" s="26"/>
      <c r="DR9" s="66"/>
      <c r="DS9" s="67"/>
      <c r="DT9" s="66"/>
      <c r="DU9" s="67"/>
      <c r="DV9" s="70">
        <v>5</v>
      </c>
      <c r="DW9" s="67"/>
      <c r="DX9" s="70">
        <v>5</v>
      </c>
      <c r="DY9" s="67"/>
      <c r="DZ9" s="70">
        <v>5</v>
      </c>
      <c r="EA9" s="67"/>
      <c r="EB9" s="66"/>
      <c r="EC9" s="67"/>
      <c r="ED9" s="66"/>
      <c r="EE9" s="67"/>
      <c r="EF9" s="27"/>
    </row>
    <row r="10" spans="1:136" ht="18" customHeight="1" x14ac:dyDescent="0.3">
      <c r="A10" s="18"/>
      <c r="B10" s="26"/>
      <c r="C10" s="68"/>
      <c r="D10" s="69"/>
      <c r="E10" s="68"/>
      <c r="F10" s="69"/>
      <c r="G10" s="68"/>
      <c r="H10" s="69"/>
      <c r="I10" s="68"/>
      <c r="J10" s="69"/>
      <c r="K10" s="68"/>
      <c r="L10" s="69"/>
      <c r="M10" s="68"/>
      <c r="N10" s="69"/>
      <c r="O10" s="68"/>
      <c r="P10" s="69"/>
      <c r="Q10" s="27"/>
      <c r="R10" s="20"/>
      <c r="S10" s="26"/>
      <c r="T10" s="68"/>
      <c r="U10" s="69"/>
      <c r="V10" s="68"/>
      <c r="W10" s="69"/>
      <c r="X10" s="68"/>
      <c r="Y10" s="69"/>
      <c r="Z10" s="68"/>
      <c r="AA10" s="69"/>
      <c r="AB10" s="68"/>
      <c r="AC10" s="69"/>
      <c r="AD10" s="68"/>
      <c r="AE10" s="69"/>
      <c r="AF10" s="68"/>
      <c r="AG10" s="69"/>
      <c r="AH10" s="27"/>
      <c r="AJ10" s="26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68"/>
      <c r="AV10" s="69"/>
      <c r="AW10" s="68"/>
      <c r="AX10" s="69"/>
      <c r="AY10" s="27"/>
      <c r="BA10" s="26"/>
      <c r="BB10" s="68"/>
      <c r="BC10" s="69"/>
      <c r="BD10" s="68"/>
      <c r="BE10" s="69"/>
      <c r="BF10" s="68"/>
      <c r="BG10" s="69"/>
      <c r="BH10" s="68"/>
      <c r="BI10" s="69"/>
      <c r="BJ10" s="68"/>
      <c r="BK10" s="69"/>
      <c r="BL10" s="68"/>
      <c r="BM10" s="69"/>
      <c r="BN10" s="68"/>
      <c r="BO10" s="69"/>
      <c r="BP10" s="27"/>
      <c r="BR10" s="26"/>
      <c r="BS10" s="68"/>
      <c r="BT10" s="69"/>
      <c r="BU10" s="68"/>
      <c r="BV10" s="69"/>
      <c r="BW10" s="68"/>
      <c r="BX10" s="69"/>
      <c r="BY10" s="68"/>
      <c r="BZ10" s="69"/>
      <c r="CA10" s="68"/>
      <c r="CB10" s="69"/>
      <c r="CC10" s="68"/>
      <c r="CD10" s="69"/>
      <c r="CE10" s="68"/>
      <c r="CF10" s="69"/>
      <c r="CG10" s="27"/>
      <c r="CI10" s="26"/>
      <c r="CJ10" s="68"/>
      <c r="CK10" s="69"/>
      <c r="CL10" s="68"/>
      <c r="CM10" s="69"/>
      <c r="CN10" s="68"/>
      <c r="CO10" s="69"/>
      <c r="CP10" s="68"/>
      <c r="CQ10" s="69"/>
      <c r="CR10" s="68"/>
      <c r="CS10" s="69"/>
      <c r="CT10" s="68"/>
      <c r="CU10" s="69"/>
      <c r="CV10" s="68"/>
      <c r="CW10" s="69"/>
      <c r="CX10" s="27"/>
      <c r="CZ10" s="26"/>
      <c r="DA10" s="68"/>
      <c r="DB10" s="69"/>
      <c r="DC10" s="68"/>
      <c r="DD10" s="69"/>
      <c r="DE10" s="68"/>
      <c r="DF10" s="69"/>
      <c r="DG10" s="68"/>
      <c r="DH10" s="69"/>
      <c r="DI10" s="68"/>
      <c r="DJ10" s="69"/>
      <c r="DK10" s="68"/>
      <c r="DL10" s="69"/>
      <c r="DM10" s="68"/>
      <c r="DN10" s="69"/>
      <c r="DO10" s="27"/>
      <c r="DQ10" s="26"/>
      <c r="DR10" s="68"/>
      <c r="DS10" s="69"/>
      <c r="DT10" s="68"/>
      <c r="DU10" s="69"/>
      <c r="DV10" s="68"/>
      <c r="DW10" s="69"/>
      <c r="DX10" s="68"/>
      <c r="DY10" s="69"/>
      <c r="DZ10" s="68"/>
      <c r="EA10" s="69"/>
      <c r="EB10" s="68"/>
      <c r="EC10" s="69"/>
      <c r="ED10" s="68"/>
      <c r="EE10" s="69"/>
      <c r="EF10" s="27"/>
    </row>
    <row r="11" spans="1:136" ht="18" customHeight="1" x14ac:dyDescent="0.3">
      <c r="A11" s="18"/>
      <c r="B11" s="26"/>
      <c r="C11" s="22"/>
      <c r="D11" s="66"/>
      <c r="E11" s="67"/>
      <c r="F11" s="66"/>
      <c r="G11" s="67"/>
      <c r="H11" s="66"/>
      <c r="I11" s="67"/>
      <c r="J11" s="66"/>
      <c r="K11" s="67"/>
      <c r="L11" s="66"/>
      <c r="M11" s="67"/>
      <c r="N11" s="66"/>
      <c r="O11" s="67"/>
      <c r="P11" s="22"/>
      <c r="Q11" s="27"/>
      <c r="R11" s="20"/>
      <c r="S11" s="26"/>
      <c r="T11" s="22"/>
      <c r="U11" s="66"/>
      <c r="V11" s="67"/>
      <c r="W11" s="66"/>
      <c r="X11" s="67"/>
      <c r="Y11" s="66"/>
      <c r="Z11" s="67"/>
      <c r="AA11" s="66"/>
      <c r="AB11" s="67"/>
      <c r="AC11" s="66"/>
      <c r="AD11" s="67"/>
      <c r="AE11" s="66"/>
      <c r="AF11" s="67"/>
      <c r="AG11" s="22"/>
      <c r="AH11" s="27"/>
      <c r="AJ11" s="26"/>
      <c r="AK11" s="22"/>
      <c r="AL11" s="66"/>
      <c r="AM11" s="67"/>
      <c r="AN11" s="66"/>
      <c r="AO11" s="67"/>
      <c r="AP11" s="74">
        <v>1</v>
      </c>
      <c r="AQ11" s="67"/>
      <c r="AR11" s="66"/>
      <c r="AS11" s="67"/>
      <c r="AT11" s="66"/>
      <c r="AU11" s="67"/>
      <c r="AV11" s="66"/>
      <c r="AW11" s="67"/>
      <c r="AX11" s="22"/>
      <c r="AY11" s="27"/>
      <c r="BA11" s="26"/>
      <c r="BB11" s="22"/>
      <c r="BC11" s="66"/>
      <c r="BD11" s="67"/>
      <c r="BE11" s="66"/>
      <c r="BF11" s="67"/>
      <c r="BG11" s="66"/>
      <c r="BH11" s="67"/>
      <c r="BI11" s="74">
        <v>1</v>
      </c>
      <c r="BJ11" s="67"/>
      <c r="BK11" s="66"/>
      <c r="BL11" s="67"/>
      <c r="BM11" s="66"/>
      <c r="BN11" s="67"/>
      <c r="BO11" s="22"/>
      <c r="BP11" s="27"/>
      <c r="BR11" s="26"/>
      <c r="BS11" s="22"/>
      <c r="BT11" s="66"/>
      <c r="BU11" s="67"/>
      <c r="BV11" s="66"/>
      <c r="BW11" s="67"/>
      <c r="BX11" s="66"/>
      <c r="BY11" s="67"/>
      <c r="BZ11" s="66"/>
      <c r="CA11" s="67"/>
      <c r="CB11" s="66"/>
      <c r="CC11" s="67"/>
      <c r="CD11" s="66"/>
      <c r="CE11" s="67"/>
      <c r="CF11" s="22"/>
      <c r="CG11" s="27"/>
      <c r="CI11" s="26"/>
      <c r="CJ11" s="22"/>
      <c r="CK11" s="66"/>
      <c r="CL11" s="67"/>
      <c r="CM11" s="66"/>
      <c r="CN11" s="67"/>
      <c r="CO11" s="66"/>
      <c r="CP11" s="67"/>
      <c r="CQ11" s="66"/>
      <c r="CR11" s="67"/>
      <c r="CS11" s="66"/>
      <c r="CT11" s="67"/>
      <c r="CU11" s="66"/>
      <c r="CV11" s="67"/>
      <c r="CW11" s="22"/>
      <c r="CX11" s="27"/>
      <c r="CZ11" s="26"/>
      <c r="DA11" s="22"/>
      <c r="DB11" s="66"/>
      <c r="DC11" s="67"/>
      <c r="DD11" s="66"/>
      <c r="DE11" s="67"/>
      <c r="DF11" s="70">
        <v>5</v>
      </c>
      <c r="DG11" s="67"/>
      <c r="DH11" s="66"/>
      <c r="DI11" s="67"/>
      <c r="DJ11" s="66"/>
      <c r="DK11" s="67"/>
      <c r="DL11" s="66"/>
      <c r="DM11" s="67"/>
      <c r="DN11" s="22"/>
      <c r="DO11" s="27"/>
      <c r="DQ11" s="26"/>
      <c r="DR11" s="22"/>
      <c r="DS11" s="66"/>
      <c r="DT11" s="67"/>
      <c r="DU11" s="66"/>
      <c r="DV11" s="67"/>
      <c r="DW11" s="66"/>
      <c r="DX11" s="67"/>
      <c r="DY11" s="70">
        <v>5</v>
      </c>
      <c r="DZ11" s="67"/>
      <c r="EA11" s="66"/>
      <c r="EB11" s="67"/>
      <c r="EC11" s="66"/>
      <c r="ED11" s="67"/>
      <c r="EE11" s="22"/>
      <c r="EF11" s="27"/>
    </row>
    <row r="12" spans="1:136" ht="18" customHeight="1" x14ac:dyDescent="0.3">
      <c r="A12" s="18"/>
      <c r="B12" s="26"/>
      <c r="C12" s="22"/>
      <c r="D12" s="68"/>
      <c r="E12" s="69"/>
      <c r="F12" s="68"/>
      <c r="G12" s="69"/>
      <c r="H12" s="68"/>
      <c r="I12" s="69"/>
      <c r="J12" s="68"/>
      <c r="K12" s="69"/>
      <c r="L12" s="68"/>
      <c r="M12" s="69"/>
      <c r="N12" s="68"/>
      <c r="O12" s="69"/>
      <c r="P12" s="22"/>
      <c r="Q12" s="27"/>
      <c r="R12" s="20"/>
      <c r="S12" s="26"/>
      <c r="T12" s="22"/>
      <c r="U12" s="68"/>
      <c r="V12" s="69"/>
      <c r="W12" s="68"/>
      <c r="X12" s="69"/>
      <c r="Y12" s="68"/>
      <c r="Z12" s="69"/>
      <c r="AA12" s="68"/>
      <c r="AB12" s="69"/>
      <c r="AC12" s="68"/>
      <c r="AD12" s="69"/>
      <c r="AE12" s="68"/>
      <c r="AF12" s="69"/>
      <c r="AG12" s="22"/>
      <c r="AH12" s="27"/>
      <c r="AJ12" s="26"/>
      <c r="AK12" s="22"/>
      <c r="AL12" s="68"/>
      <c r="AM12" s="69"/>
      <c r="AN12" s="68"/>
      <c r="AO12" s="69"/>
      <c r="AP12" s="68"/>
      <c r="AQ12" s="69"/>
      <c r="AR12" s="68"/>
      <c r="AS12" s="69"/>
      <c r="AT12" s="68"/>
      <c r="AU12" s="69"/>
      <c r="AV12" s="68"/>
      <c r="AW12" s="69"/>
      <c r="AX12" s="22"/>
      <c r="AY12" s="27"/>
      <c r="BA12" s="26"/>
      <c r="BB12" s="22"/>
      <c r="BC12" s="68"/>
      <c r="BD12" s="69"/>
      <c r="BE12" s="68"/>
      <c r="BF12" s="69"/>
      <c r="BG12" s="68"/>
      <c r="BH12" s="69"/>
      <c r="BI12" s="68"/>
      <c r="BJ12" s="69"/>
      <c r="BK12" s="68"/>
      <c r="BL12" s="69"/>
      <c r="BM12" s="68"/>
      <c r="BN12" s="69"/>
      <c r="BO12" s="22"/>
      <c r="BP12" s="27"/>
      <c r="BR12" s="26"/>
      <c r="BS12" s="22"/>
      <c r="BT12" s="68"/>
      <c r="BU12" s="69"/>
      <c r="BV12" s="68"/>
      <c r="BW12" s="69"/>
      <c r="BX12" s="68"/>
      <c r="BY12" s="69"/>
      <c r="BZ12" s="68"/>
      <c r="CA12" s="69"/>
      <c r="CB12" s="68"/>
      <c r="CC12" s="69"/>
      <c r="CD12" s="68"/>
      <c r="CE12" s="69"/>
      <c r="CF12" s="22"/>
      <c r="CG12" s="27"/>
      <c r="CI12" s="26"/>
      <c r="CJ12" s="22"/>
      <c r="CK12" s="68"/>
      <c r="CL12" s="69"/>
      <c r="CM12" s="68"/>
      <c r="CN12" s="69"/>
      <c r="CO12" s="68"/>
      <c r="CP12" s="69"/>
      <c r="CQ12" s="68"/>
      <c r="CR12" s="69"/>
      <c r="CS12" s="68"/>
      <c r="CT12" s="69"/>
      <c r="CU12" s="68"/>
      <c r="CV12" s="69"/>
      <c r="CW12" s="22"/>
      <c r="CX12" s="27"/>
      <c r="CZ12" s="26"/>
      <c r="DA12" s="22"/>
      <c r="DB12" s="68"/>
      <c r="DC12" s="69"/>
      <c r="DD12" s="68"/>
      <c r="DE12" s="69"/>
      <c r="DF12" s="68"/>
      <c r="DG12" s="69"/>
      <c r="DH12" s="68"/>
      <c r="DI12" s="69"/>
      <c r="DJ12" s="68"/>
      <c r="DK12" s="69"/>
      <c r="DL12" s="68"/>
      <c r="DM12" s="69"/>
      <c r="DN12" s="22"/>
      <c r="DO12" s="27"/>
      <c r="DQ12" s="26"/>
      <c r="DR12" s="22"/>
      <c r="DS12" s="68"/>
      <c r="DT12" s="69"/>
      <c r="DU12" s="68"/>
      <c r="DV12" s="69"/>
      <c r="DW12" s="68"/>
      <c r="DX12" s="69"/>
      <c r="DY12" s="68"/>
      <c r="DZ12" s="69"/>
      <c r="EA12" s="68"/>
      <c r="EB12" s="69"/>
      <c r="EC12" s="68"/>
      <c r="ED12" s="69"/>
      <c r="EE12" s="22"/>
      <c r="EF12" s="27"/>
    </row>
    <row r="13" spans="1:136" ht="18" customHeight="1" x14ac:dyDescent="0.3">
      <c r="A13" s="18"/>
      <c r="B13" s="26"/>
      <c r="C13" s="22"/>
      <c r="D13" s="22"/>
      <c r="E13" s="66"/>
      <c r="F13" s="67"/>
      <c r="G13" s="66"/>
      <c r="H13" s="67"/>
      <c r="I13" s="66"/>
      <c r="J13" s="67"/>
      <c r="K13" s="66"/>
      <c r="L13" s="67"/>
      <c r="M13" s="66"/>
      <c r="N13" s="67"/>
      <c r="O13" s="22"/>
      <c r="P13" s="22"/>
      <c r="Q13" s="27"/>
      <c r="R13" s="20"/>
      <c r="S13" s="26"/>
      <c r="T13" s="22"/>
      <c r="U13" s="22"/>
      <c r="V13" s="66"/>
      <c r="W13" s="67"/>
      <c r="X13" s="66"/>
      <c r="Y13" s="67"/>
      <c r="Z13" s="66"/>
      <c r="AA13" s="67"/>
      <c r="AB13" s="66"/>
      <c r="AC13" s="67"/>
      <c r="AD13" s="66"/>
      <c r="AE13" s="67"/>
      <c r="AF13" s="22"/>
      <c r="AG13" s="22"/>
      <c r="AH13" s="27"/>
      <c r="AJ13" s="26"/>
      <c r="AK13" s="22"/>
      <c r="AL13" s="22"/>
      <c r="AM13" s="66"/>
      <c r="AN13" s="67"/>
      <c r="AO13" s="66"/>
      <c r="AP13" s="67"/>
      <c r="AQ13" s="66"/>
      <c r="AR13" s="67"/>
      <c r="AS13" s="66"/>
      <c r="AT13" s="67"/>
      <c r="AU13" s="66"/>
      <c r="AV13" s="67"/>
      <c r="AW13" s="22"/>
      <c r="AX13" s="22"/>
      <c r="AY13" s="27"/>
      <c r="BA13" s="26"/>
      <c r="BB13" s="22"/>
      <c r="BC13" s="22"/>
      <c r="BD13" s="66"/>
      <c r="BE13" s="67"/>
      <c r="BF13" s="66"/>
      <c r="BG13" s="67"/>
      <c r="BH13" s="66"/>
      <c r="BI13" s="67"/>
      <c r="BJ13" s="74">
        <v>1</v>
      </c>
      <c r="BK13" s="67"/>
      <c r="BL13" s="66"/>
      <c r="BM13" s="67"/>
      <c r="BN13" s="22"/>
      <c r="BO13" s="22"/>
      <c r="BP13" s="27"/>
      <c r="BR13" s="26"/>
      <c r="BS13" s="22"/>
      <c r="BT13" s="22"/>
      <c r="BU13" s="66"/>
      <c r="BV13" s="67"/>
      <c r="BW13" s="66"/>
      <c r="BX13" s="67"/>
      <c r="BY13" s="66"/>
      <c r="BZ13" s="67"/>
      <c r="CA13" s="66"/>
      <c r="CB13" s="67"/>
      <c r="CC13" s="66"/>
      <c r="CD13" s="67"/>
      <c r="CE13" s="22"/>
      <c r="CF13" s="22"/>
      <c r="CG13" s="27"/>
      <c r="CI13" s="26"/>
      <c r="CJ13" s="22"/>
      <c r="CK13" s="22"/>
      <c r="CL13" s="66"/>
      <c r="CM13" s="67"/>
      <c r="CN13" s="66"/>
      <c r="CO13" s="67"/>
      <c r="CP13" s="66"/>
      <c r="CQ13" s="67"/>
      <c r="CR13" s="66"/>
      <c r="CS13" s="67"/>
      <c r="CT13" s="66"/>
      <c r="CU13" s="67"/>
      <c r="CV13" s="22"/>
      <c r="CW13" s="22"/>
      <c r="CX13" s="27"/>
      <c r="CZ13" s="26"/>
      <c r="DA13" s="22"/>
      <c r="DB13" s="22"/>
      <c r="DC13" s="66"/>
      <c r="DD13" s="67"/>
      <c r="DE13" s="66"/>
      <c r="DF13" s="67"/>
      <c r="DG13" s="66"/>
      <c r="DH13" s="67"/>
      <c r="DI13" s="66"/>
      <c r="DJ13" s="67"/>
      <c r="DK13" s="66"/>
      <c r="DL13" s="67"/>
      <c r="DM13" s="22"/>
      <c r="DN13" s="22"/>
      <c r="DO13" s="27"/>
      <c r="DQ13" s="26"/>
      <c r="DR13" s="22"/>
      <c r="DS13" s="22"/>
      <c r="DT13" s="66"/>
      <c r="DU13" s="67"/>
      <c r="DV13" s="66"/>
      <c r="DW13" s="67"/>
      <c r="DX13" s="66"/>
      <c r="DY13" s="67"/>
      <c r="DZ13" s="66"/>
      <c r="EA13" s="67"/>
      <c r="EB13" s="66"/>
      <c r="EC13" s="67"/>
      <c r="ED13" s="22"/>
      <c r="EE13" s="22"/>
      <c r="EF13" s="27"/>
    </row>
    <row r="14" spans="1:136" ht="18" customHeight="1" x14ac:dyDescent="0.3">
      <c r="A14" s="18"/>
      <c r="B14" s="26"/>
      <c r="C14" s="22"/>
      <c r="D14" s="22"/>
      <c r="E14" s="68"/>
      <c r="F14" s="69"/>
      <c r="G14" s="68"/>
      <c r="H14" s="69"/>
      <c r="I14" s="68"/>
      <c r="J14" s="69"/>
      <c r="K14" s="68"/>
      <c r="L14" s="69"/>
      <c r="M14" s="68"/>
      <c r="N14" s="69"/>
      <c r="O14" s="22"/>
      <c r="P14" s="22"/>
      <c r="Q14" s="27"/>
      <c r="R14" s="20"/>
      <c r="S14" s="26"/>
      <c r="T14" s="22"/>
      <c r="U14" s="22"/>
      <c r="V14" s="68"/>
      <c r="W14" s="69"/>
      <c r="X14" s="68"/>
      <c r="Y14" s="69"/>
      <c r="Z14" s="68"/>
      <c r="AA14" s="69"/>
      <c r="AB14" s="68"/>
      <c r="AC14" s="69"/>
      <c r="AD14" s="68"/>
      <c r="AE14" s="69"/>
      <c r="AF14" s="22"/>
      <c r="AG14" s="22"/>
      <c r="AH14" s="27"/>
      <c r="AJ14" s="26"/>
      <c r="AK14" s="22"/>
      <c r="AL14" s="22"/>
      <c r="AM14" s="68"/>
      <c r="AN14" s="69"/>
      <c r="AO14" s="68"/>
      <c r="AP14" s="69"/>
      <c r="AQ14" s="68"/>
      <c r="AR14" s="69"/>
      <c r="AS14" s="68"/>
      <c r="AT14" s="69"/>
      <c r="AU14" s="68"/>
      <c r="AV14" s="69"/>
      <c r="AW14" s="22"/>
      <c r="AX14" s="22"/>
      <c r="AY14" s="27"/>
      <c r="BA14" s="26"/>
      <c r="BB14" s="22"/>
      <c r="BC14" s="22"/>
      <c r="BD14" s="68"/>
      <c r="BE14" s="69"/>
      <c r="BF14" s="68"/>
      <c r="BG14" s="69"/>
      <c r="BH14" s="68"/>
      <c r="BI14" s="69"/>
      <c r="BJ14" s="68"/>
      <c r="BK14" s="69"/>
      <c r="BL14" s="68"/>
      <c r="BM14" s="69"/>
      <c r="BN14" s="22"/>
      <c r="BO14" s="22"/>
      <c r="BP14" s="27"/>
      <c r="BR14" s="26"/>
      <c r="BS14" s="22"/>
      <c r="BT14" s="22"/>
      <c r="BU14" s="68"/>
      <c r="BV14" s="69"/>
      <c r="BW14" s="68"/>
      <c r="BX14" s="69"/>
      <c r="BY14" s="68"/>
      <c r="BZ14" s="69"/>
      <c r="CA14" s="68"/>
      <c r="CB14" s="69"/>
      <c r="CC14" s="68"/>
      <c r="CD14" s="69"/>
      <c r="CE14" s="22"/>
      <c r="CF14" s="22"/>
      <c r="CG14" s="27"/>
      <c r="CI14" s="26"/>
      <c r="CJ14" s="22"/>
      <c r="CK14" s="22"/>
      <c r="CL14" s="68"/>
      <c r="CM14" s="69"/>
      <c r="CN14" s="68"/>
      <c r="CO14" s="69"/>
      <c r="CP14" s="68"/>
      <c r="CQ14" s="69"/>
      <c r="CR14" s="68"/>
      <c r="CS14" s="69"/>
      <c r="CT14" s="68"/>
      <c r="CU14" s="69"/>
      <c r="CV14" s="22"/>
      <c r="CW14" s="22"/>
      <c r="CX14" s="27"/>
      <c r="CZ14" s="26"/>
      <c r="DA14" s="22"/>
      <c r="DB14" s="22"/>
      <c r="DC14" s="68"/>
      <c r="DD14" s="69"/>
      <c r="DE14" s="68"/>
      <c r="DF14" s="69"/>
      <c r="DG14" s="68"/>
      <c r="DH14" s="69"/>
      <c r="DI14" s="68"/>
      <c r="DJ14" s="69"/>
      <c r="DK14" s="68"/>
      <c r="DL14" s="69"/>
      <c r="DM14" s="22"/>
      <c r="DN14" s="22"/>
      <c r="DO14" s="27"/>
      <c r="DQ14" s="26"/>
      <c r="DR14" s="22"/>
      <c r="DS14" s="22"/>
      <c r="DT14" s="68"/>
      <c r="DU14" s="69"/>
      <c r="DV14" s="68"/>
      <c r="DW14" s="69"/>
      <c r="DX14" s="68"/>
      <c r="DY14" s="69"/>
      <c r="DZ14" s="68"/>
      <c r="EA14" s="69"/>
      <c r="EB14" s="68"/>
      <c r="EC14" s="69"/>
      <c r="ED14" s="22"/>
      <c r="EE14" s="22"/>
      <c r="EF14" s="27"/>
    </row>
    <row r="15" spans="1:136" ht="18" customHeight="1" x14ac:dyDescent="0.3">
      <c r="A15" s="18"/>
      <c r="B15" s="26"/>
      <c r="C15" s="21"/>
      <c r="D15" s="22"/>
      <c r="E15" s="22"/>
      <c r="F15" s="66"/>
      <c r="G15" s="67"/>
      <c r="H15" s="66"/>
      <c r="I15" s="67"/>
      <c r="J15" s="66"/>
      <c r="K15" s="67"/>
      <c r="L15" s="66"/>
      <c r="M15" s="67"/>
      <c r="N15" s="22"/>
      <c r="O15" s="22"/>
      <c r="P15" s="21"/>
      <c r="Q15" s="27"/>
      <c r="R15" s="20"/>
      <c r="S15" s="26"/>
      <c r="T15" s="21"/>
      <c r="U15" s="22"/>
      <c r="V15" s="22"/>
      <c r="W15" s="66"/>
      <c r="X15" s="67"/>
      <c r="Y15" s="66"/>
      <c r="Z15" s="67"/>
      <c r="AA15" s="66"/>
      <c r="AB15" s="67"/>
      <c r="AC15" s="66"/>
      <c r="AD15" s="67"/>
      <c r="AE15" s="22"/>
      <c r="AF15" s="22"/>
      <c r="AG15" s="21"/>
      <c r="AH15" s="27"/>
      <c r="AJ15" s="26"/>
      <c r="AK15" s="21"/>
      <c r="AL15" s="22"/>
      <c r="AM15" s="22"/>
      <c r="AN15" s="66"/>
      <c r="AO15" s="67"/>
      <c r="AP15" s="66"/>
      <c r="AQ15" s="67"/>
      <c r="AR15" s="66"/>
      <c r="AS15" s="67"/>
      <c r="AT15" s="66"/>
      <c r="AU15" s="67"/>
      <c r="AV15" s="22"/>
      <c r="AW15" s="22"/>
      <c r="AX15" s="21"/>
      <c r="AY15" s="27"/>
      <c r="BA15" s="26"/>
      <c r="BB15" s="21"/>
      <c r="BC15" s="22"/>
      <c r="BD15" s="22"/>
      <c r="BE15" s="66"/>
      <c r="BF15" s="67"/>
      <c r="BG15" s="66"/>
      <c r="BH15" s="67"/>
      <c r="BI15" s="66"/>
      <c r="BJ15" s="67"/>
      <c r="BK15" s="66"/>
      <c r="BL15" s="67"/>
      <c r="BM15" s="22"/>
      <c r="BN15" s="22"/>
      <c r="BO15" s="21"/>
      <c r="BP15" s="27"/>
      <c r="BR15" s="26"/>
      <c r="BS15" s="21"/>
      <c r="BT15" s="22"/>
      <c r="BU15" s="22"/>
      <c r="BV15" s="66"/>
      <c r="BW15" s="67"/>
      <c r="BX15" s="66"/>
      <c r="BY15" s="67"/>
      <c r="BZ15" s="66"/>
      <c r="CA15" s="67"/>
      <c r="CB15" s="66"/>
      <c r="CC15" s="67"/>
      <c r="CD15" s="22"/>
      <c r="CE15" s="22"/>
      <c r="CF15" s="21"/>
      <c r="CG15" s="27"/>
      <c r="CI15" s="26"/>
      <c r="CJ15" s="21"/>
      <c r="CK15" s="22"/>
      <c r="CL15" s="22"/>
      <c r="CM15" s="66"/>
      <c r="CN15" s="67"/>
      <c r="CO15" s="66"/>
      <c r="CP15" s="67"/>
      <c r="CQ15" s="66"/>
      <c r="CR15" s="67"/>
      <c r="CS15" s="66"/>
      <c r="CT15" s="67"/>
      <c r="CU15" s="22"/>
      <c r="CV15" s="22"/>
      <c r="CW15" s="21"/>
      <c r="CX15" s="27"/>
      <c r="CZ15" s="26"/>
      <c r="DA15" s="21"/>
      <c r="DB15" s="22"/>
      <c r="DC15" s="22"/>
      <c r="DD15" s="66"/>
      <c r="DE15" s="67"/>
      <c r="DF15" s="66"/>
      <c r="DG15" s="67"/>
      <c r="DH15" s="66"/>
      <c r="DI15" s="67"/>
      <c r="DJ15" s="66"/>
      <c r="DK15" s="67"/>
      <c r="DL15" s="22"/>
      <c r="DM15" s="22"/>
      <c r="DN15" s="21"/>
      <c r="DO15" s="27"/>
      <c r="DQ15" s="26"/>
      <c r="DR15" s="21"/>
      <c r="DS15" s="22"/>
      <c r="DT15" s="22"/>
      <c r="DU15" s="66"/>
      <c r="DV15" s="67"/>
      <c r="DW15" s="66"/>
      <c r="DX15" s="67"/>
      <c r="DY15" s="66"/>
      <c r="DZ15" s="67"/>
      <c r="EA15" s="66"/>
      <c r="EB15" s="67"/>
      <c r="EC15" s="22"/>
      <c r="ED15" s="22"/>
      <c r="EE15" s="21"/>
      <c r="EF15" s="27"/>
    </row>
    <row r="16" spans="1:136" ht="18" customHeight="1" x14ac:dyDescent="0.3">
      <c r="A16" s="18"/>
      <c r="B16" s="26"/>
      <c r="C16" s="21"/>
      <c r="D16" s="22"/>
      <c r="E16" s="22"/>
      <c r="F16" s="68"/>
      <c r="G16" s="69"/>
      <c r="H16" s="68"/>
      <c r="I16" s="69"/>
      <c r="J16" s="68"/>
      <c r="K16" s="69"/>
      <c r="L16" s="68"/>
      <c r="M16" s="69"/>
      <c r="N16" s="22"/>
      <c r="O16" s="22"/>
      <c r="P16" s="21"/>
      <c r="Q16" s="27"/>
      <c r="R16" s="20"/>
      <c r="S16" s="26"/>
      <c r="T16" s="21"/>
      <c r="U16" s="22"/>
      <c r="V16" s="22"/>
      <c r="W16" s="68"/>
      <c r="X16" s="69"/>
      <c r="Y16" s="68"/>
      <c r="Z16" s="69"/>
      <c r="AA16" s="68"/>
      <c r="AB16" s="69"/>
      <c r="AC16" s="68"/>
      <c r="AD16" s="69"/>
      <c r="AE16" s="22"/>
      <c r="AF16" s="22"/>
      <c r="AG16" s="21"/>
      <c r="AH16" s="27"/>
      <c r="AJ16" s="26"/>
      <c r="AK16" s="21"/>
      <c r="AL16" s="22"/>
      <c r="AM16" s="22"/>
      <c r="AN16" s="68"/>
      <c r="AO16" s="69"/>
      <c r="AP16" s="68"/>
      <c r="AQ16" s="69"/>
      <c r="AR16" s="68"/>
      <c r="AS16" s="69"/>
      <c r="AT16" s="68"/>
      <c r="AU16" s="69"/>
      <c r="AV16" s="22"/>
      <c r="AW16" s="22"/>
      <c r="AX16" s="21"/>
      <c r="AY16" s="27"/>
      <c r="BA16" s="26"/>
      <c r="BB16" s="21"/>
      <c r="BC16" s="22"/>
      <c r="BD16" s="22"/>
      <c r="BE16" s="68"/>
      <c r="BF16" s="69"/>
      <c r="BG16" s="68"/>
      <c r="BH16" s="69"/>
      <c r="BI16" s="68"/>
      <c r="BJ16" s="69"/>
      <c r="BK16" s="68"/>
      <c r="BL16" s="69"/>
      <c r="BM16" s="22"/>
      <c r="BN16" s="22"/>
      <c r="BO16" s="21"/>
      <c r="BP16" s="27"/>
      <c r="BR16" s="26"/>
      <c r="BS16" s="21"/>
      <c r="BT16" s="22"/>
      <c r="BU16" s="22"/>
      <c r="BV16" s="68"/>
      <c r="BW16" s="69"/>
      <c r="BX16" s="68"/>
      <c r="BY16" s="69"/>
      <c r="BZ16" s="68"/>
      <c r="CA16" s="69"/>
      <c r="CB16" s="68"/>
      <c r="CC16" s="69"/>
      <c r="CD16" s="22"/>
      <c r="CE16" s="22"/>
      <c r="CF16" s="21"/>
      <c r="CG16" s="27"/>
      <c r="CI16" s="26"/>
      <c r="CJ16" s="21"/>
      <c r="CK16" s="22"/>
      <c r="CL16" s="22"/>
      <c r="CM16" s="68"/>
      <c r="CN16" s="69"/>
      <c r="CO16" s="68"/>
      <c r="CP16" s="69"/>
      <c r="CQ16" s="68"/>
      <c r="CR16" s="69"/>
      <c r="CS16" s="68"/>
      <c r="CT16" s="69"/>
      <c r="CU16" s="22"/>
      <c r="CV16" s="22"/>
      <c r="CW16" s="21"/>
      <c r="CX16" s="27"/>
      <c r="CZ16" s="26"/>
      <c r="DA16" s="21"/>
      <c r="DB16" s="22"/>
      <c r="DC16" s="22"/>
      <c r="DD16" s="68"/>
      <c r="DE16" s="69"/>
      <c r="DF16" s="68"/>
      <c r="DG16" s="69"/>
      <c r="DH16" s="68"/>
      <c r="DI16" s="69"/>
      <c r="DJ16" s="68"/>
      <c r="DK16" s="69"/>
      <c r="DL16" s="22"/>
      <c r="DM16" s="22"/>
      <c r="DN16" s="21"/>
      <c r="DO16" s="27"/>
      <c r="DQ16" s="26"/>
      <c r="DR16" s="21"/>
      <c r="DS16" s="22"/>
      <c r="DT16" s="22"/>
      <c r="DU16" s="68"/>
      <c r="DV16" s="69"/>
      <c r="DW16" s="68"/>
      <c r="DX16" s="69"/>
      <c r="DY16" s="68"/>
      <c r="DZ16" s="69"/>
      <c r="EA16" s="68"/>
      <c r="EB16" s="69"/>
      <c r="EC16" s="22"/>
      <c r="ED16" s="22"/>
      <c r="EE16" s="21"/>
      <c r="EF16" s="27"/>
    </row>
    <row r="17" spans="1:136" ht="18" customHeight="1" x14ac:dyDescent="0.3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8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8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8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8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8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8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8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8"/>
    </row>
    <row r="18" spans="1:136" ht="18" customHeight="1" x14ac:dyDescent="0.3">
      <c r="A18" s="18"/>
      <c r="B18" s="29"/>
      <c r="C18" s="82" t="str">
        <f>GetHexStr(C3:P16)</f>
        <v>(0,0,6,);</v>
      </c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4"/>
      <c r="Q18" s="28"/>
      <c r="S18" s="29"/>
      <c r="T18" s="82" t="str">
        <f>GetHexStr(T3:AG16)</f>
        <v>(-2,0,1,);(0,0,1,);(2,0,1,);(4,0,1,);</v>
      </c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4"/>
      <c r="AH18" s="28"/>
      <c r="AJ18" s="29"/>
      <c r="AK18" s="82" t="str">
        <f>GetHexStr(AK3:AX16)</f>
        <v>(2,-4,1,);(1,-2,1,);(0,0,1,);(-1,2,1,);</v>
      </c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4"/>
      <c r="AY18" s="28"/>
      <c r="BA18" s="29"/>
      <c r="BB18" s="82" t="str">
        <f>GetHexStr(BB3:BO16)</f>
        <v>(-1,-2,1,);(0,0,1,);(1,2,1,);(2,4,1,);</v>
      </c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4"/>
      <c r="BP18" s="28"/>
      <c r="BR18" s="29"/>
      <c r="BS18" s="82" t="str">
        <f>GetHexStr(BS3:CF16)</f>
        <v>(1,-2,5,);(-2,0,5,);(0,0,5,);(2,0,5,);</v>
      </c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4"/>
      <c r="CG18" s="28"/>
      <c r="CI18" s="29"/>
      <c r="CJ18" s="82" t="str">
        <f>GetHexStr(CJ3:CW16)</f>
        <v>(-1,-2,5,);(-2,0,5,);(0,0,5,);(2,0,5,);</v>
      </c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4"/>
      <c r="CX18" s="28"/>
      <c r="CZ18" s="29"/>
      <c r="DA18" s="82" t="str">
        <f>GetHexStr(DA3:DN16)</f>
        <v>(-2,0,5,);(0,0,5,);(2,0,5,);(-1,2,5,);</v>
      </c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4"/>
      <c r="DO18" s="28"/>
      <c r="DQ18" s="29"/>
      <c r="DR18" s="82" t="str">
        <f>GetHexStr(DR3:EE16)</f>
        <v>(-2,0,5,);(0,0,5,);(2,0,5,);(1,2,5,);</v>
      </c>
      <c r="DS18" s="83"/>
      <c r="DT18" s="83"/>
      <c r="DU18" s="83"/>
      <c r="DV18" s="83"/>
      <c r="DW18" s="83"/>
      <c r="DX18" s="83"/>
      <c r="DY18" s="83"/>
      <c r="DZ18" s="83"/>
      <c r="EA18" s="83"/>
      <c r="EB18" s="83"/>
      <c r="EC18" s="83"/>
      <c r="ED18" s="83"/>
      <c r="EE18" s="84"/>
      <c r="EF18" s="28"/>
    </row>
    <row r="19" spans="1:136" ht="18" customHeight="1" x14ac:dyDescent="0.3">
      <c r="B19" s="29"/>
      <c r="C19" s="85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7"/>
      <c r="Q19" s="28"/>
      <c r="S19" s="29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7"/>
      <c r="AH19" s="28"/>
      <c r="AJ19" s="29"/>
      <c r="AK19" s="85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7"/>
      <c r="AY19" s="28"/>
      <c r="BA19" s="29"/>
      <c r="BB19" s="85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7"/>
      <c r="BP19" s="28"/>
      <c r="BR19" s="29"/>
      <c r="BS19" s="85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7"/>
      <c r="CG19" s="28"/>
      <c r="CI19" s="29"/>
      <c r="CJ19" s="85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7"/>
      <c r="CX19" s="28"/>
      <c r="CZ19" s="29"/>
      <c r="DA19" s="85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7"/>
      <c r="DO19" s="28"/>
      <c r="DQ19" s="29"/>
      <c r="DR19" s="85"/>
      <c r="DS19" s="86"/>
      <c r="DT19" s="86"/>
      <c r="DU19" s="86"/>
      <c r="DV19" s="86"/>
      <c r="DW19" s="86"/>
      <c r="DX19" s="86"/>
      <c r="DY19" s="86"/>
      <c r="DZ19" s="86"/>
      <c r="EA19" s="86"/>
      <c r="EB19" s="86"/>
      <c r="EC19" s="86"/>
      <c r="ED19" s="86"/>
      <c r="EE19" s="87"/>
      <c r="EF19" s="28"/>
    </row>
    <row r="20" spans="1:136" ht="18" customHeight="1" thickBot="1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S20" s="30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2"/>
      <c r="AJ20" s="30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  <c r="BA20" s="30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2"/>
      <c r="BR20" s="30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2"/>
      <c r="CI20" s="30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2"/>
      <c r="CZ20" s="30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2"/>
      <c r="DQ20" s="30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2"/>
    </row>
    <row r="21" spans="1:136" ht="18" customHeight="1" thickBot="1" x14ac:dyDescent="0.35"/>
    <row r="22" spans="1:136" ht="18" customHeight="1" x14ac:dyDescent="0.3">
      <c r="A22" s="18"/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5"/>
      <c r="R22" s="20"/>
      <c r="S22" s="23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5"/>
      <c r="AJ22" s="23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5"/>
      <c r="BA22" s="23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5"/>
      <c r="BR22" s="23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5"/>
      <c r="CI22" s="23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5"/>
      <c r="CZ22" s="23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5"/>
      <c r="DQ22" s="23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5"/>
    </row>
    <row r="23" spans="1:136" ht="18" customHeight="1" x14ac:dyDescent="0.3">
      <c r="A23" s="18"/>
      <c r="B23" s="26"/>
      <c r="C23" s="21"/>
      <c r="D23" s="22"/>
      <c r="E23" s="22"/>
      <c r="F23" s="66"/>
      <c r="G23" s="67"/>
      <c r="H23" s="66"/>
      <c r="I23" s="67"/>
      <c r="J23" s="66"/>
      <c r="K23" s="67"/>
      <c r="L23" s="66"/>
      <c r="M23" s="67"/>
      <c r="N23" s="22"/>
      <c r="O23" s="22"/>
      <c r="P23" s="21"/>
      <c r="Q23" s="27"/>
      <c r="R23" s="20"/>
      <c r="S23" s="26"/>
      <c r="T23" s="21"/>
      <c r="U23" s="22"/>
      <c r="V23" s="22"/>
      <c r="W23" s="66"/>
      <c r="X23" s="67"/>
      <c r="Y23" s="66"/>
      <c r="Z23" s="67"/>
      <c r="AA23" s="66"/>
      <c r="AB23" s="67"/>
      <c r="AC23" s="66"/>
      <c r="AD23" s="67"/>
      <c r="AE23" s="22"/>
      <c r="AF23" s="22"/>
      <c r="AG23" s="21"/>
      <c r="AH23" s="27"/>
      <c r="AJ23" s="26"/>
      <c r="AK23" s="21"/>
      <c r="AL23" s="22"/>
      <c r="AM23" s="22"/>
      <c r="AN23" s="66"/>
      <c r="AO23" s="67"/>
      <c r="AP23" s="66"/>
      <c r="AQ23" s="67"/>
      <c r="AR23" s="66"/>
      <c r="AS23" s="67"/>
      <c r="AT23" s="66"/>
      <c r="AU23" s="67"/>
      <c r="AV23" s="22"/>
      <c r="AW23" s="22"/>
      <c r="AX23" s="21"/>
      <c r="AY23" s="27"/>
      <c r="BA23" s="26"/>
      <c r="BB23" s="21"/>
      <c r="BC23" s="22"/>
      <c r="BD23" s="22"/>
      <c r="BE23" s="66"/>
      <c r="BF23" s="67"/>
      <c r="BG23" s="66"/>
      <c r="BH23" s="67"/>
      <c r="BI23" s="66"/>
      <c r="BJ23" s="67"/>
      <c r="BK23" s="66"/>
      <c r="BL23" s="67"/>
      <c r="BM23" s="22"/>
      <c r="BN23" s="22"/>
      <c r="BO23" s="21"/>
      <c r="BP23" s="27"/>
      <c r="BR23" s="26"/>
      <c r="BS23" s="21"/>
      <c r="BT23" s="22"/>
      <c r="BU23" s="22"/>
      <c r="BV23" s="66"/>
      <c r="BW23" s="67"/>
      <c r="BX23" s="66"/>
      <c r="BY23" s="67"/>
      <c r="BZ23" s="66"/>
      <c r="CA23" s="67"/>
      <c r="CB23" s="66"/>
      <c r="CC23" s="67"/>
      <c r="CD23" s="22"/>
      <c r="CE23" s="22"/>
      <c r="CF23" s="21"/>
      <c r="CG23" s="27"/>
      <c r="CI23" s="26"/>
      <c r="CJ23" s="21"/>
      <c r="CK23" s="22"/>
      <c r="CL23" s="22"/>
      <c r="CM23" s="66"/>
      <c r="CN23" s="67"/>
      <c r="CO23" s="66"/>
      <c r="CP23" s="67"/>
      <c r="CQ23" s="66"/>
      <c r="CR23" s="67"/>
      <c r="CS23" s="66"/>
      <c r="CT23" s="67"/>
      <c r="CU23" s="22"/>
      <c r="CV23" s="22"/>
      <c r="CW23" s="21"/>
      <c r="CX23" s="27"/>
      <c r="CZ23" s="26"/>
      <c r="DA23" s="21"/>
      <c r="DB23" s="22"/>
      <c r="DC23" s="22"/>
      <c r="DD23" s="66"/>
      <c r="DE23" s="67"/>
      <c r="DF23" s="66"/>
      <c r="DG23" s="67"/>
      <c r="DH23" s="66"/>
      <c r="DI23" s="67"/>
      <c r="DJ23" s="66"/>
      <c r="DK23" s="67"/>
      <c r="DL23" s="22"/>
      <c r="DM23" s="22"/>
      <c r="DN23" s="21"/>
      <c r="DO23" s="27"/>
      <c r="DQ23" s="26"/>
      <c r="DR23" s="21"/>
      <c r="DS23" s="22"/>
      <c r="DT23" s="22"/>
      <c r="DU23" s="66"/>
      <c r="DV23" s="67"/>
      <c r="DW23" s="66"/>
      <c r="DX23" s="67"/>
      <c r="DY23" s="66"/>
      <c r="DZ23" s="67"/>
      <c r="EA23" s="66"/>
      <c r="EB23" s="67"/>
      <c r="EC23" s="22"/>
      <c r="ED23" s="22"/>
      <c r="EE23" s="21"/>
      <c r="EF23" s="27"/>
    </row>
    <row r="24" spans="1:136" ht="18" customHeight="1" x14ac:dyDescent="0.3">
      <c r="A24" s="18"/>
      <c r="B24" s="26"/>
      <c r="C24" s="21"/>
      <c r="D24" s="22"/>
      <c r="E24" s="22"/>
      <c r="F24" s="68"/>
      <c r="G24" s="69"/>
      <c r="H24" s="68"/>
      <c r="I24" s="69"/>
      <c r="J24" s="68"/>
      <c r="K24" s="69"/>
      <c r="L24" s="68"/>
      <c r="M24" s="69"/>
      <c r="N24" s="22"/>
      <c r="O24" s="22"/>
      <c r="P24" s="21"/>
      <c r="Q24" s="27"/>
      <c r="R24" s="20"/>
      <c r="S24" s="26"/>
      <c r="T24" s="21"/>
      <c r="U24" s="22"/>
      <c r="V24" s="22"/>
      <c r="W24" s="68"/>
      <c r="X24" s="69"/>
      <c r="Y24" s="68"/>
      <c r="Z24" s="69"/>
      <c r="AA24" s="68"/>
      <c r="AB24" s="69"/>
      <c r="AC24" s="68"/>
      <c r="AD24" s="69"/>
      <c r="AE24" s="22"/>
      <c r="AF24" s="22"/>
      <c r="AG24" s="21"/>
      <c r="AH24" s="27"/>
      <c r="AJ24" s="26"/>
      <c r="AK24" s="21"/>
      <c r="AL24" s="22"/>
      <c r="AM24" s="22"/>
      <c r="AN24" s="68"/>
      <c r="AO24" s="69"/>
      <c r="AP24" s="68"/>
      <c r="AQ24" s="69"/>
      <c r="AR24" s="68"/>
      <c r="AS24" s="69"/>
      <c r="AT24" s="68"/>
      <c r="AU24" s="69"/>
      <c r="AV24" s="22"/>
      <c r="AW24" s="22"/>
      <c r="AX24" s="21"/>
      <c r="AY24" s="27"/>
      <c r="BA24" s="26"/>
      <c r="BB24" s="21"/>
      <c r="BC24" s="22"/>
      <c r="BD24" s="22"/>
      <c r="BE24" s="68"/>
      <c r="BF24" s="69"/>
      <c r="BG24" s="68"/>
      <c r="BH24" s="69"/>
      <c r="BI24" s="68"/>
      <c r="BJ24" s="69"/>
      <c r="BK24" s="68"/>
      <c r="BL24" s="69"/>
      <c r="BM24" s="22"/>
      <c r="BN24" s="22"/>
      <c r="BO24" s="21"/>
      <c r="BP24" s="27"/>
      <c r="BR24" s="26"/>
      <c r="BS24" s="21"/>
      <c r="BT24" s="22"/>
      <c r="BU24" s="22"/>
      <c r="BV24" s="68"/>
      <c r="BW24" s="69"/>
      <c r="BX24" s="68"/>
      <c r="BY24" s="69"/>
      <c r="BZ24" s="68"/>
      <c r="CA24" s="69"/>
      <c r="CB24" s="68"/>
      <c r="CC24" s="69"/>
      <c r="CD24" s="22"/>
      <c r="CE24" s="22"/>
      <c r="CF24" s="21"/>
      <c r="CG24" s="27"/>
      <c r="CI24" s="26"/>
      <c r="CJ24" s="21"/>
      <c r="CK24" s="22"/>
      <c r="CL24" s="22"/>
      <c r="CM24" s="68"/>
      <c r="CN24" s="69"/>
      <c r="CO24" s="68"/>
      <c r="CP24" s="69"/>
      <c r="CQ24" s="68"/>
      <c r="CR24" s="69"/>
      <c r="CS24" s="68"/>
      <c r="CT24" s="69"/>
      <c r="CU24" s="22"/>
      <c r="CV24" s="22"/>
      <c r="CW24" s="21"/>
      <c r="CX24" s="27"/>
      <c r="CZ24" s="26"/>
      <c r="DA24" s="21"/>
      <c r="DB24" s="22"/>
      <c r="DC24" s="22"/>
      <c r="DD24" s="68"/>
      <c r="DE24" s="69"/>
      <c r="DF24" s="68"/>
      <c r="DG24" s="69"/>
      <c r="DH24" s="68"/>
      <c r="DI24" s="69"/>
      <c r="DJ24" s="68"/>
      <c r="DK24" s="69"/>
      <c r="DL24" s="22"/>
      <c r="DM24" s="22"/>
      <c r="DN24" s="21"/>
      <c r="DO24" s="27"/>
      <c r="DQ24" s="26"/>
      <c r="DR24" s="21"/>
      <c r="DS24" s="22"/>
      <c r="DT24" s="22"/>
      <c r="DU24" s="68"/>
      <c r="DV24" s="69"/>
      <c r="DW24" s="68"/>
      <c r="DX24" s="69"/>
      <c r="DY24" s="68"/>
      <c r="DZ24" s="69"/>
      <c r="EA24" s="68"/>
      <c r="EB24" s="69"/>
      <c r="EC24" s="22"/>
      <c r="ED24" s="22"/>
      <c r="EE24" s="21"/>
      <c r="EF24" s="27"/>
    </row>
    <row r="25" spans="1:136" ht="18" customHeight="1" x14ac:dyDescent="0.3">
      <c r="A25" s="18"/>
      <c r="B25" s="26"/>
      <c r="C25" s="22"/>
      <c r="D25" s="22"/>
      <c r="E25" s="66"/>
      <c r="F25" s="67"/>
      <c r="G25" s="66"/>
      <c r="H25" s="67"/>
      <c r="I25" s="66"/>
      <c r="J25" s="67"/>
      <c r="K25" s="66"/>
      <c r="L25" s="67"/>
      <c r="M25" s="66"/>
      <c r="N25" s="67"/>
      <c r="O25" s="22"/>
      <c r="P25" s="22"/>
      <c r="Q25" s="27"/>
      <c r="R25" s="20"/>
      <c r="S25" s="26"/>
      <c r="T25" s="22"/>
      <c r="U25" s="22"/>
      <c r="V25" s="66"/>
      <c r="W25" s="67"/>
      <c r="X25" s="66"/>
      <c r="Y25" s="67"/>
      <c r="Z25" s="66"/>
      <c r="AA25" s="67"/>
      <c r="AB25" s="66"/>
      <c r="AC25" s="67"/>
      <c r="AD25" s="66"/>
      <c r="AE25" s="67"/>
      <c r="AF25" s="22"/>
      <c r="AG25" s="22"/>
      <c r="AH25" s="27"/>
      <c r="AJ25" s="26"/>
      <c r="AK25" s="22"/>
      <c r="AL25" s="22"/>
      <c r="AM25" s="66"/>
      <c r="AN25" s="67"/>
      <c r="AO25" s="66"/>
      <c r="AP25" s="67"/>
      <c r="AQ25" s="66"/>
      <c r="AR25" s="67"/>
      <c r="AS25" s="66"/>
      <c r="AT25" s="67"/>
      <c r="AU25" s="66"/>
      <c r="AV25" s="67"/>
      <c r="AW25" s="22"/>
      <c r="AX25" s="22"/>
      <c r="AY25" s="27"/>
      <c r="BA25" s="26"/>
      <c r="BB25" s="22"/>
      <c r="BC25" s="22"/>
      <c r="BD25" s="66"/>
      <c r="BE25" s="67"/>
      <c r="BF25" s="66"/>
      <c r="BG25" s="67"/>
      <c r="BH25" s="66"/>
      <c r="BI25" s="67"/>
      <c r="BJ25" s="66"/>
      <c r="BK25" s="67"/>
      <c r="BL25" s="66"/>
      <c r="BM25" s="67"/>
      <c r="BN25" s="22"/>
      <c r="BO25" s="22"/>
      <c r="BP25" s="27"/>
      <c r="BR25" s="26"/>
      <c r="BS25" s="22"/>
      <c r="BT25" s="22"/>
      <c r="BU25" s="66"/>
      <c r="BV25" s="67"/>
      <c r="BW25" s="66"/>
      <c r="BX25" s="67"/>
      <c r="BY25" s="66"/>
      <c r="BZ25" s="67"/>
      <c r="CA25" s="66"/>
      <c r="CB25" s="67"/>
      <c r="CC25" s="66"/>
      <c r="CD25" s="67"/>
      <c r="CE25" s="22"/>
      <c r="CF25" s="22"/>
      <c r="CG25" s="27"/>
      <c r="CI25" s="26"/>
      <c r="CJ25" s="22"/>
      <c r="CK25" s="22"/>
      <c r="CL25" s="66"/>
      <c r="CM25" s="67"/>
      <c r="CN25" s="66"/>
      <c r="CO25" s="67"/>
      <c r="CP25" s="66"/>
      <c r="CQ25" s="67"/>
      <c r="CR25" s="66"/>
      <c r="CS25" s="67"/>
      <c r="CT25" s="66"/>
      <c r="CU25" s="67"/>
      <c r="CV25" s="22"/>
      <c r="CW25" s="22"/>
      <c r="CX25" s="27"/>
      <c r="CZ25" s="26"/>
      <c r="DA25" s="22"/>
      <c r="DB25" s="22"/>
      <c r="DC25" s="66"/>
      <c r="DD25" s="67"/>
      <c r="DE25" s="66"/>
      <c r="DF25" s="67"/>
      <c r="DG25" s="66"/>
      <c r="DH25" s="67"/>
      <c r="DI25" s="66"/>
      <c r="DJ25" s="67"/>
      <c r="DK25" s="66"/>
      <c r="DL25" s="67"/>
      <c r="DM25" s="22"/>
      <c r="DN25" s="22"/>
      <c r="DO25" s="27"/>
      <c r="DQ25" s="26"/>
      <c r="DR25" s="22"/>
      <c r="DS25" s="22"/>
      <c r="DT25" s="66"/>
      <c r="DU25" s="67"/>
      <c r="DV25" s="66"/>
      <c r="DW25" s="67"/>
      <c r="DX25" s="66"/>
      <c r="DY25" s="67"/>
      <c r="DZ25" s="66"/>
      <c r="EA25" s="67"/>
      <c r="EB25" s="66"/>
      <c r="EC25" s="67"/>
      <c r="ED25" s="22"/>
      <c r="EE25" s="22"/>
      <c r="EF25" s="27"/>
    </row>
    <row r="26" spans="1:136" ht="18" customHeight="1" x14ac:dyDescent="0.3">
      <c r="A26" s="18"/>
      <c r="B26" s="26"/>
      <c r="C26" s="22"/>
      <c r="D26" s="22"/>
      <c r="E26" s="68"/>
      <c r="F26" s="69"/>
      <c r="G26" s="68"/>
      <c r="H26" s="69"/>
      <c r="I26" s="68"/>
      <c r="J26" s="69"/>
      <c r="K26" s="68"/>
      <c r="L26" s="69"/>
      <c r="M26" s="68"/>
      <c r="N26" s="69"/>
      <c r="O26" s="22"/>
      <c r="P26" s="22"/>
      <c r="Q26" s="27"/>
      <c r="R26" s="20"/>
      <c r="S26" s="26"/>
      <c r="T26" s="22"/>
      <c r="U26" s="22"/>
      <c r="V26" s="68"/>
      <c r="W26" s="69"/>
      <c r="X26" s="68"/>
      <c r="Y26" s="69"/>
      <c r="Z26" s="68"/>
      <c r="AA26" s="69"/>
      <c r="AB26" s="68"/>
      <c r="AC26" s="69"/>
      <c r="AD26" s="68"/>
      <c r="AE26" s="69"/>
      <c r="AF26" s="22"/>
      <c r="AG26" s="22"/>
      <c r="AH26" s="27"/>
      <c r="AJ26" s="26"/>
      <c r="AK26" s="22"/>
      <c r="AL26" s="22"/>
      <c r="AM26" s="68"/>
      <c r="AN26" s="69"/>
      <c r="AO26" s="68"/>
      <c r="AP26" s="69"/>
      <c r="AQ26" s="68"/>
      <c r="AR26" s="69"/>
      <c r="AS26" s="68"/>
      <c r="AT26" s="69"/>
      <c r="AU26" s="68"/>
      <c r="AV26" s="69"/>
      <c r="AW26" s="22"/>
      <c r="AX26" s="22"/>
      <c r="AY26" s="27"/>
      <c r="BA26" s="26"/>
      <c r="BB26" s="22"/>
      <c r="BC26" s="22"/>
      <c r="BD26" s="68"/>
      <c r="BE26" s="69"/>
      <c r="BF26" s="68"/>
      <c r="BG26" s="69"/>
      <c r="BH26" s="68"/>
      <c r="BI26" s="69"/>
      <c r="BJ26" s="68"/>
      <c r="BK26" s="69"/>
      <c r="BL26" s="68"/>
      <c r="BM26" s="69"/>
      <c r="BN26" s="22"/>
      <c r="BO26" s="22"/>
      <c r="BP26" s="27"/>
      <c r="BR26" s="26"/>
      <c r="BS26" s="22"/>
      <c r="BT26" s="22"/>
      <c r="BU26" s="68"/>
      <c r="BV26" s="69"/>
      <c r="BW26" s="68"/>
      <c r="BX26" s="69"/>
      <c r="BY26" s="68"/>
      <c r="BZ26" s="69"/>
      <c r="CA26" s="68"/>
      <c r="CB26" s="69"/>
      <c r="CC26" s="68"/>
      <c r="CD26" s="69"/>
      <c r="CE26" s="22"/>
      <c r="CF26" s="22"/>
      <c r="CG26" s="27"/>
      <c r="CI26" s="26"/>
      <c r="CJ26" s="22"/>
      <c r="CK26" s="22"/>
      <c r="CL26" s="68"/>
      <c r="CM26" s="69"/>
      <c r="CN26" s="68"/>
      <c r="CO26" s="69"/>
      <c r="CP26" s="68"/>
      <c r="CQ26" s="69"/>
      <c r="CR26" s="68"/>
      <c r="CS26" s="69"/>
      <c r="CT26" s="68"/>
      <c r="CU26" s="69"/>
      <c r="CV26" s="22"/>
      <c r="CW26" s="22"/>
      <c r="CX26" s="27"/>
      <c r="CZ26" s="26"/>
      <c r="DA26" s="22"/>
      <c r="DB26" s="22"/>
      <c r="DC26" s="68"/>
      <c r="DD26" s="69"/>
      <c r="DE26" s="68"/>
      <c r="DF26" s="69"/>
      <c r="DG26" s="68"/>
      <c r="DH26" s="69"/>
      <c r="DI26" s="68"/>
      <c r="DJ26" s="69"/>
      <c r="DK26" s="68"/>
      <c r="DL26" s="69"/>
      <c r="DM26" s="22"/>
      <c r="DN26" s="22"/>
      <c r="DO26" s="27"/>
      <c r="DQ26" s="26"/>
      <c r="DR26" s="22"/>
      <c r="DS26" s="22"/>
      <c r="DT26" s="68"/>
      <c r="DU26" s="69"/>
      <c r="DV26" s="68"/>
      <c r="DW26" s="69"/>
      <c r="DX26" s="68"/>
      <c r="DY26" s="69"/>
      <c r="DZ26" s="68"/>
      <c r="EA26" s="69"/>
      <c r="EB26" s="68"/>
      <c r="EC26" s="69"/>
      <c r="ED26" s="22"/>
      <c r="EE26" s="22"/>
      <c r="EF26" s="27"/>
    </row>
    <row r="27" spans="1:136" ht="18" customHeight="1" x14ac:dyDescent="0.3">
      <c r="A27" s="18"/>
      <c r="B27" s="26"/>
      <c r="C27" s="22"/>
      <c r="D27" s="66"/>
      <c r="E27" s="67"/>
      <c r="F27" s="66"/>
      <c r="G27" s="67"/>
      <c r="H27" s="75">
        <v>2</v>
      </c>
      <c r="I27" s="67"/>
      <c r="J27" s="75">
        <v>2</v>
      </c>
      <c r="K27" s="67"/>
      <c r="L27" s="66"/>
      <c r="M27" s="67"/>
      <c r="N27" s="66"/>
      <c r="O27" s="67"/>
      <c r="P27" s="22"/>
      <c r="Q27" s="27"/>
      <c r="R27" s="20"/>
      <c r="S27" s="26"/>
      <c r="T27" s="22"/>
      <c r="U27" s="66"/>
      <c r="V27" s="67"/>
      <c r="W27" s="66"/>
      <c r="X27" s="67"/>
      <c r="Y27" s="75">
        <v>2</v>
      </c>
      <c r="Z27" s="67"/>
      <c r="AA27" s="75">
        <v>2</v>
      </c>
      <c r="AB27" s="67"/>
      <c r="AC27" s="66"/>
      <c r="AD27" s="67"/>
      <c r="AE27" s="66"/>
      <c r="AF27" s="67"/>
      <c r="AG27" s="22"/>
      <c r="AH27" s="27"/>
      <c r="AJ27" s="26"/>
      <c r="AK27" s="22"/>
      <c r="AL27" s="66"/>
      <c r="AM27" s="67"/>
      <c r="AN27" s="66"/>
      <c r="AO27" s="67"/>
      <c r="AP27" s="75">
        <v>2</v>
      </c>
      <c r="AQ27" s="67"/>
      <c r="AR27" s="66"/>
      <c r="AS27" s="67"/>
      <c r="AT27" s="66"/>
      <c r="AU27" s="67"/>
      <c r="AV27" s="66"/>
      <c r="AW27" s="67"/>
      <c r="AX27" s="22"/>
      <c r="AY27" s="27"/>
      <c r="BA27" s="26"/>
      <c r="BB27" s="22"/>
      <c r="BC27" s="66"/>
      <c r="BD27" s="67"/>
      <c r="BE27" s="66"/>
      <c r="BF27" s="67"/>
      <c r="BG27" s="66"/>
      <c r="BH27" s="67"/>
      <c r="BI27" s="71">
        <v>4</v>
      </c>
      <c r="BJ27" s="67"/>
      <c r="BK27" s="66"/>
      <c r="BL27" s="67"/>
      <c r="BM27" s="66"/>
      <c r="BN27" s="67"/>
      <c r="BO27" s="22"/>
      <c r="BP27" s="27"/>
      <c r="BR27" s="26"/>
      <c r="BS27" s="22"/>
      <c r="BT27" s="66"/>
      <c r="BU27" s="67"/>
      <c r="BV27" s="66"/>
      <c r="BW27" s="67"/>
      <c r="BX27" s="66"/>
      <c r="BY27" s="67"/>
      <c r="BZ27" s="71">
        <v>4</v>
      </c>
      <c r="CA27" s="67"/>
      <c r="CB27" s="66"/>
      <c r="CC27" s="67"/>
      <c r="CD27" s="66"/>
      <c r="CE27" s="67"/>
      <c r="CF27" s="22"/>
      <c r="CG27" s="27"/>
      <c r="CI27" s="26"/>
      <c r="CJ27" s="22"/>
      <c r="CK27" s="66"/>
      <c r="CL27" s="67"/>
      <c r="CM27" s="66"/>
      <c r="CN27" s="67"/>
      <c r="CO27" s="66"/>
      <c r="CP27" s="67"/>
      <c r="CQ27" s="71">
        <v>4</v>
      </c>
      <c r="CR27" s="67"/>
      <c r="CS27" s="66"/>
      <c r="CT27" s="67"/>
      <c r="CU27" s="66"/>
      <c r="CV27" s="67"/>
      <c r="CW27" s="22"/>
      <c r="CX27" s="27"/>
      <c r="CZ27" s="26"/>
      <c r="DA27" s="22"/>
      <c r="DB27" s="66"/>
      <c r="DC27" s="67"/>
      <c r="DD27" s="66"/>
      <c r="DE27" s="67"/>
      <c r="DF27" s="71">
        <v>4</v>
      </c>
      <c r="DG27" s="67"/>
      <c r="DH27" s="71">
        <v>4</v>
      </c>
      <c r="DI27" s="67"/>
      <c r="DJ27" s="66"/>
      <c r="DK27" s="67"/>
      <c r="DL27" s="66"/>
      <c r="DM27" s="67"/>
      <c r="DN27" s="22"/>
      <c r="DO27" s="27"/>
      <c r="DQ27" s="26"/>
      <c r="DR27" s="22"/>
      <c r="DS27" s="66"/>
      <c r="DT27" s="67"/>
      <c r="DU27" s="66"/>
      <c r="DV27" s="67"/>
      <c r="DW27" s="71">
        <v>4</v>
      </c>
      <c r="DX27" s="67"/>
      <c r="DY27" s="66"/>
      <c r="DZ27" s="67"/>
      <c r="EA27" s="66"/>
      <c r="EB27" s="67"/>
      <c r="EC27" s="66"/>
      <c r="ED27" s="67"/>
      <c r="EE27" s="22"/>
      <c r="EF27" s="27"/>
    </row>
    <row r="28" spans="1:136" ht="18" customHeight="1" x14ac:dyDescent="0.3">
      <c r="A28" s="18"/>
      <c r="B28" s="26"/>
      <c r="C28" s="22"/>
      <c r="D28" s="68"/>
      <c r="E28" s="69"/>
      <c r="F28" s="68"/>
      <c r="G28" s="69"/>
      <c r="H28" s="68"/>
      <c r="I28" s="69"/>
      <c r="J28" s="68"/>
      <c r="K28" s="69"/>
      <c r="L28" s="68"/>
      <c r="M28" s="69"/>
      <c r="N28" s="68"/>
      <c r="O28" s="69"/>
      <c r="P28" s="22"/>
      <c r="Q28" s="27"/>
      <c r="R28" s="20"/>
      <c r="S28" s="26"/>
      <c r="T28" s="22"/>
      <c r="U28" s="68"/>
      <c r="V28" s="69"/>
      <c r="W28" s="68"/>
      <c r="X28" s="69"/>
      <c r="Y28" s="68"/>
      <c r="Z28" s="69"/>
      <c r="AA28" s="68"/>
      <c r="AB28" s="69"/>
      <c r="AC28" s="68"/>
      <c r="AD28" s="69"/>
      <c r="AE28" s="68"/>
      <c r="AF28" s="69"/>
      <c r="AG28" s="22"/>
      <c r="AH28" s="27"/>
      <c r="AJ28" s="26"/>
      <c r="AK28" s="22"/>
      <c r="AL28" s="68"/>
      <c r="AM28" s="69"/>
      <c r="AN28" s="68"/>
      <c r="AO28" s="69"/>
      <c r="AP28" s="68"/>
      <c r="AQ28" s="69"/>
      <c r="AR28" s="68"/>
      <c r="AS28" s="69"/>
      <c r="AT28" s="68"/>
      <c r="AU28" s="69"/>
      <c r="AV28" s="68"/>
      <c r="AW28" s="69"/>
      <c r="AX28" s="22"/>
      <c r="AY28" s="27"/>
      <c r="BA28" s="26"/>
      <c r="BB28" s="22"/>
      <c r="BC28" s="68"/>
      <c r="BD28" s="69"/>
      <c r="BE28" s="68"/>
      <c r="BF28" s="69"/>
      <c r="BG28" s="68"/>
      <c r="BH28" s="69"/>
      <c r="BI28" s="68"/>
      <c r="BJ28" s="69"/>
      <c r="BK28" s="68"/>
      <c r="BL28" s="69"/>
      <c r="BM28" s="68"/>
      <c r="BN28" s="69"/>
      <c r="BO28" s="22"/>
      <c r="BP28" s="27"/>
      <c r="BR28" s="26"/>
      <c r="BS28" s="22"/>
      <c r="BT28" s="68"/>
      <c r="BU28" s="69"/>
      <c r="BV28" s="68"/>
      <c r="BW28" s="69"/>
      <c r="BX28" s="68"/>
      <c r="BY28" s="69"/>
      <c r="BZ28" s="68"/>
      <c r="CA28" s="69"/>
      <c r="CB28" s="68"/>
      <c r="CC28" s="69"/>
      <c r="CD28" s="68"/>
      <c r="CE28" s="69"/>
      <c r="CF28" s="22"/>
      <c r="CG28" s="27"/>
      <c r="CI28" s="26"/>
      <c r="CJ28" s="22"/>
      <c r="CK28" s="68"/>
      <c r="CL28" s="69"/>
      <c r="CM28" s="68"/>
      <c r="CN28" s="69"/>
      <c r="CO28" s="68"/>
      <c r="CP28" s="69"/>
      <c r="CQ28" s="68"/>
      <c r="CR28" s="69"/>
      <c r="CS28" s="68"/>
      <c r="CT28" s="69"/>
      <c r="CU28" s="68"/>
      <c r="CV28" s="69"/>
      <c r="CW28" s="22"/>
      <c r="CX28" s="27"/>
      <c r="CZ28" s="26"/>
      <c r="DA28" s="22"/>
      <c r="DB28" s="68"/>
      <c r="DC28" s="69"/>
      <c r="DD28" s="68"/>
      <c r="DE28" s="69"/>
      <c r="DF28" s="68"/>
      <c r="DG28" s="69"/>
      <c r="DH28" s="68"/>
      <c r="DI28" s="69"/>
      <c r="DJ28" s="68"/>
      <c r="DK28" s="69"/>
      <c r="DL28" s="68"/>
      <c r="DM28" s="69"/>
      <c r="DN28" s="22"/>
      <c r="DO28" s="27"/>
      <c r="DQ28" s="26"/>
      <c r="DR28" s="22"/>
      <c r="DS28" s="68"/>
      <c r="DT28" s="69"/>
      <c r="DU28" s="68"/>
      <c r="DV28" s="69"/>
      <c r="DW28" s="68"/>
      <c r="DX28" s="69"/>
      <c r="DY28" s="68"/>
      <c r="DZ28" s="69"/>
      <c r="EA28" s="68"/>
      <c r="EB28" s="69"/>
      <c r="EC28" s="68"/>
      <c r="ED28" s="69"/>
      <c r="EE28" s="22"/>
      <c r="EF28" s="27"/>
    </row>
    <row r="29" spans="1:136" ht="18" customHeight="1" x14ac:dyDescent="0.3">
      <c r="A29" s="18"/>
      <c r="B29" s="26"/>
      <c r="C29" s="66"/>
      <c r="D29" s="67"/>
      <c r="E29" s="66"/>
      <c r="F29" s="67"/>
      <c r="G29" s="75">
        <v>2</v>
      </c>
      <c r="H29" s="67"/>
      <c r="I29" s="75">
        <v>2</v>
      </c>
      <c r="J29" s="67"/>
      <c r="K29" s="66"/>
      <c r="L29" s="67"/>
      <c r="M29" s="66"/>
      <c r="N29" s="67"/>
      <c r="O29" s="66"/>
      <c r="P29" s="67"/>
      <c r="Q29" s="27"/>
      <c r="R29" s="20"/>
      <c r="S29" s="26"/>
      <c r="T29" s="66"/>
      <c r="U29" s="67"/>
      <c r="V29" s="66"/>
      <c r="W29" s="67"/>
      <c r="X29" s="66"/>
      <c r="Y29" s="67"/>
      <c r="Z29" s="75">
        <v>2</v>
      </c>
      <c r="AA29" s="67"/>
      <c r="AB29" s="75">
        <v>2</v>
      </c>
      <c r="AC29" s="67"/>
      <c r="AD29" s="66"/>
      <c r="AE29" s="67"/>
      <c r="AF29" s="66"/>
      <c r="AG29" s="67"/>
      <c r="AH29" s="27"/>
      <c r="AJ29" s="26"/>
      <c r="AK29" s="66"/>
      <c r="AL29" s="67"/>
      <c r="AM29" s="66"/>
      <c r="AN29" s="67"/>
      <c r="AO29" s="75">
        <v>2</v>
      </c>
      <c r="AP29" s="67"/>
      <c r="AQ29" s="75">
        <v>2</v>
      </c>
      <c r="AR29" s="67"/>
      <c r="AS29" s="66"/>
      <c r="AT29" s="67"/>
      <c r="AU29" s="66"/>
      <c r="AV29" s="67"/>
      <c r="AW29" s="66"/>
      <c r="AX29" s="67"/>
      <c r="AY29" s="27"/>
      <c r="BA29" s="26"/>
      <c r="BB29" s="66"/>
      <c r="BC29" s="67"/>
      <c r="BD29" s="66"/>
      <c r="BE29" s="67"/>
      <c r="BF29" s="71">
        <v>4</v>
      </c>
      <c r="BG29" s="67"/>
      <c r="BH29" s="71">
        <v>4</v>
      </c>
      <c r="BI29" s="67"/>
      <c r="BJ29" s="66"/>
      <c r="BK29" s="67"/>
      <c r="BL29" s="66"/>
      <c r="BM29" s="67"/>
      <c r="BN29" s="66"/>
      <c r="BO29" s="67"/>
      <c r="BP29" s="27"/>
      <c r="BR29" s="26"/>
      <c r="BS29" s="66"/>
      <c r="BT29" s="67"/>
      <c r="BU29" s="66"/>
      <c r="BV29" s="67"/>
      <c r="BW29" s="66"/>
      <c r="BX29" s="67"/>
      <c r="BY29" s="71">
        <v>4</v>
      </c>
      <c r="BZ29" s="67"/>
      <c r="CA29" s="66"/>
      <c r="CB29" s="67"/>
      <c r="CC29" s="66"/>
      <c r="CD29" s="67"/>
      <c r="CE29" s="66"/>
      <c r="CF29" s="67"/>
      <c r="CG29" s="27"/>
      <c r="CI29" s="26"/>
      <c r="CJ29" s="66"/>
      <c r="CK29" s="67"/>
      <c r="CL29" s="66"/>
      <c r="CM29" s="67"/>
      <c r="CN29" s="66"/>
      <c r="CO29" s="67"/>
      <c r="CP29" s="71">
        <v>4</v>
      </c>
      <c r="CQ29" s="67"/>
      <c r="CR29" s="71">
        <v>4</v>
      </c>
      <c r="CS29" s="67"/>
      <c r="CT29" s="66"/>
      <c r="CU29" s="67"/>
      <c r="CV29" s="66"/>
      <c r="CW29" s="67"/>
      <c r="CX29" s="27"/>
      <c r="CZ29" s="26"/>
      <c r="DA29" s="66"/>
      <c r="DB29" s="67"/>
      <c r="DC29" s="66"/>
      <c r="DD29" s="67"/>
      <c r="DE29" s="66"/>
      <c r="DF29" s="67"/>
      <c r="DG29" s="71">
        <v>4</v>
      </c>
      <c r="DH29" s="67"/>
      <c r="DI29" s="66"/>
      <c r="DJ29" s="67"/>
      <c r="DK29" s="66"/>
      <c r="DL29" s="67"/>
      <c r="DM29" s="66"/>
      <c r="DN29" s="67"/>
      <c r="DO29" s="27"/>
      <c r="DQ29" s="26"/>
      <c r="DR29" s="66"/>
      <c r="DS29" s="67"/>
      <c r="DT29" s="66"/>
      <c r="DU29" s="67"/>
      <c r="DV29" s="66"/>
      <c r="DW29" s="67"/>
      <c r="DX29" s="71">
        <v>4</v>
      </c>
      <c r="DY29" s="67"/>
      <c r="DZ29" s="66"/>
      <c r="EA29" s="67"/>
      <c r="EB29" s="66"/>
      <c r="EC29" s="67"/>
      <c r="ED29" s="66"/>
      <c r="EE29" s="67"/>
      <c r="EF29" s="27"/>
    </row>
    <row r="30" spans="1:136" ht="18" customHeight="1" x14ac:dyDescent="0.3">
      <c r="A30" s="18"/>
      <c r="B30" s="26"/>
      <c r="C30" s="68"/>
      <c r="D30" s="69"/>
      <c r="E30" s="68"/>
      <c r="F30" s="69"/>
      <c r="G30" s="68"/>
      <c r="H30" s="69"/>
      <c r="I30" s="68"/>
      <c r="J30" s="69"/>
      <c r="K30" s="68"/>
      <c r="L30" s="69"/>
      <c r="M30" s="68"/>
      <c r="N30" s="69"/>
      <c r="O30" s="68"/>
      <c r="P30" s="69"/>
      <c r="Q30" s="27"/>
      <c r="R30" s="20"/>
      <c r="S30" s="26"/>
      <c r="T30" s="68"/>
      <c r="U30" s="69"/>
      <c r="V30" s="68"/>
      <c r="W30" s="69"/>
      <c r="X30" s="68"/>
      <c r="Y30" s="69"/>
      <c r="Z30" s="68"/>
      <c r="AA30" s="69"/>
      <c r="AB30" s="68"/>
      <c r="AC30" s="69"/>
      <c r="AD30" s="68"/>
      <c r="AE30" s="69"/>
      <c r="AF30" s="68"/>
      <c r="AG30" s="69"/>
      <c r="AH30" s="27"/>
      <c r="AJ30" s="2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69"/>
      <c r="AW30" s="68"/>
      <c r="AX30" s="69"/>
      <c r="AY30" s="27"/>
      <c r="BA30" s="26"/>
      <c r="BB30" s="68"/>
      <c r="BC30" s="69"/>
      <c r="BD30" s="68"/>
      <c r="BE30" s="69"/>
      <c r="BF30" s="68"/>
      <c r="BG30" s="69"/>
      <c r="BH30" s="68"/>
      <c r="BI30" s="69"/>
      <c r="BJ30" s="68"/>
      <c r="BK30" s="69"/>
      <c r="BL30" s="68"/>
      <c r="BM30" s="69"/>
      <c r="BN30" s="68"/>
      <c r="BO30" s="69"/>
      <c r="BP30" s="27"/>
      <c r="BR30" s="26"/>
      <c r="BS30" s="68"/>
      <c r="BT30" s="69"/>
      <c r="BU30" s="68"/>
      <c r="BV30" s="69"/>
      <c r="BW30" s="68"/>
      <c r="BX30" s="69"/>
      <c r="BY30" s="68"/>
      <c r="BZ30" s="69"/>
      <c r="CA30" s="68"/>
      <c r="CB30" s="69"/>
      <c r="CC30" s="68"/>
      <c r="CD30" s="69"/>
      <c r="CE30" s="68"/>
      <c r="CF30" s="69"/>
      <c r="CG30" s="27"/>
      <c r="CI30" s="26"/>
      <c r="CJ30" s="68"/>
      <c r="CK30" s="69"/>
      <c r="CL30" s="68"/>
      <c r="CM30" s="69"/>
      <c r="CN30" s="68"/>
      <c r="CO30" s="69"/>
      <c r="CP30" s="68"/>
      <c r="CQ30" s="69"/>
      <c r="CR30" s="68"/>
      <c r="CS30" s="69"/>
      <c r="CT30" s="68"/>
      <c r="CU30" s="69"/>
      <c r="CV30" s="68"/>
      <c r="CW30" s="69"/>
      <c r="CX30" s="27"/>
      <c r="CZ30" s="26"/>
      <c r="DA30" s="68"/>
      <c r="DB30" s="69"/>
      <c r="DC30" s="68"/>
      <c r="DD30" s="69"/>
      <c r="DE30" s="68"/>
      <c r="DF30" s="69"/>
      <c r="DG30" s="68"/>
      <c r="DH30" s="69"/>
      <c r="DI30" s="68"/>
      <c r="DJ30" s="69"/>
      <c r="DK30" s="68"/>
      <c r="DL30" s="69"/>
      <c r="DM30" s="68"/>
      <c r="DN30" s="69"/>
      <c r="DO30" s="27"/>
      <c r="DQ30" s="26"/>
      <c r="DR30" s="68"/>
      <c r="DS30" s="69"/>
      <c r="DT30" s="68"/>
      <c r="DU30" s="69"/>
      <c r="DV30" s="68"/>
      <c r="DW30" s="69"/>
      <c r="DX30" s="68"/>
      <c r="DY30" s="69"/>
      <c r="DZ30" s="68"/>
      <c r="EA30" s="69"/>
      <c r="EB30" s="68"/>
      <c r="EC30" s="69"/>
      <c r="ED30" s="68"/>
      <c r="EE30" s="69"/>
      <c r="EF30" s="27"/>
    </row>
    <row r="31" spans="1:136" ht="18" customHeight="1" x14ac:dyDescent="0.3">
      <c r="A31" s="18"/>
      <c r="B31" s="26"/>
      <c r="C31" s="22"/>
      <c r="D31" s="66"/>
      <c r="E31" s="67"/>
      <c r="F31" s="66"/>
      <c r="G31" s="67"/>
      <c r="H31" s="66"/>
      <c r="I31" s="67"/>
      <c r="J31" s="66"/>
      <c r="K31" s="67"/>
      <c r="L31" s="66"/>
      <c r="M31" s="67"/>
      <c r="N31" s="66"/>
      <c r="O31" s="67"/>
      <c r="P31" s="22"/>
      <c r="Q31" s="27"/>
      <c r="R31" s="20"/>
      <c r="S31" s="26"/>
      <c r="T31" s="22"/>
      <c r="U31" s="66"/>
      <c r="V31" s="67"/>
      <c r="W31" s="66"/>
      <c r="X31" s="67"/>
      <c r="Y31" s="66"/>
      <c r="Z31" s="67"/>
      <c r="AA31" s="66"/>
      <c r="AB31" s="67"/>
      <c r="AC31" s="66"/>
      <c r="AD31" s="67"/>
      <c r="AE31" s="66"/>
      <c r="AF31" s="67"/>
      <c r="AG31" s="22"/>
      <c r="AH31" s="27"/>
      <c r="AJ31" s="26"/>
      <c r="AK31" s="22"/>
      <c r="AL31" s="66"/>
      <c r="AM31" s="67"/>
      <c r="AN31" s="66"/>
      <c r="AO31" s="67"/>
      <c r="AP31" s="75">
        <v>2</v>
      </c>
      <c r="AQ31" s="67"/>
      <c r="AR31" s="66"/>
      <c r="AS31" s="67"/>
      <c r="AT31" s="66"/>
      <c r="AU31" s="67"/>
      <c r="AV31" s="66"/>
      <c r="AW31" s="67"/>
      <c r="AX31" s="22"/>
      <c r="AY31" s="27"/>
      <c r="BA31" s="26"/>
      <c r="BB31" s="22"/>
      <c r="BC31" s="66"/>
      <c r="BD31" s="67"/>
      <c r="BE31" s="66"/>
      <c r="BF31" s="67"/>
      <c r="BG31" s="71">
        <v>4</v>
      </c>
      <c r="BH31" s="67"/>
      <c r="BI31" s="66"/>
      <c r="BJ31" s="67"/>
      <c r="BK31" s="66"/>
      <c r="BL31" s="67"/>
      <c r="BM31" s="66"/>
      <c r="BN31" s="67"/>
      <c r="BO31" s="22"/>
      <c r="BP31" s="27"/>
      <c r="BR31" s="26"/>
      <c r="BS31" s="22"/>
      <c r="BT31" s="66"/>
      <c r="BU31" s="67"/>
      <c r="BV31" s="66"/>
      <c r="BW31" s="67"/>
      <c r="BX31" s="71">
        <v>4</v>
      </c>
      <c r="BY31" s="67"/>
      <c r="BZ31" s="71">
        <v>4</v>
      </c>
      <c r="CA31" s="67"/>
      <c r="CB31" s="66"/>
      <c r="CC31" s="67"/>
      <c r="CD31" s="66"/>
      <c r="CE31" s="67"/>
      <c r="CF31" s="22"/>
      <c r="CG31" s="27"/>
      <c r="CI31" s="26"/>
      <c r="CJ31" s="22"/>
      <c r="CK31" s="66"/>
      <c r="CL31" s="67"/>
      <c r="CM31" s="66"/>
      <c r="CN31" s="67"/>
      <c r="CO31" s="71">
        <v>4</v>
      </c>
      <c r="CP31" s="67"/>
      <c r="CQ31" s="66"/>
      <c r="CR31" s="67"/>
      <c r="CS31" s="66"/>
      <c r="CT31" s="67"/>
      <c r="CU31" s="66"/>
      <c r="CV31" s="67"/>
      <c r="CW31" s="22"/>
      <c r="CX31" s="27"/>
      <c r="CZ31" s="26"/>
      <c r="DA31" s="22"/>
      <c r="DB31" s="66"/>
      <c r="DC31" s="67"/>
      <c r="DD31" s="66"/>
      <c r="DE31" s="67"/>
      <c r="DF31" s="71">
        <v>4</v>
      </c>
      <c r="DG31" s="67"/>
      <c r="DH31" s="66"/>
      <c r="DI31" s="67"/>
      <c r="DJ31" s="66"/>
      <c r="DK31" s="67"/>
      <c r="DL31" s="66"/>
      <c r="DM31" s="67"/>
      <c r="DN31" s="22"/>
      <c r="DO31" s="27"/>
      <c r="DQ31" s="26"/>
      <c r="DR31" s="22"/>
      <c r="DS31" s="66"/>
      <c r="DT31" s="67"/>
      <c r="DU31" s="66"/>
      <c r="DV31" s="67"/>
      <c r="DW31" s="71">
        <v>4</v>
      </c>
      <c r="DX31" s="67"/>
      <c r="DY31" s="71">
        <v>4</v>
      </c>
      <c r="DZ31" s="67"/>
      <c r="EA31" s="66"/>
      <c r="EB31" s="67"/>
      <c r="EC31" s="66"/>
      <c r="ED31" s="67"/>
      <c r="EE31" s="22"/>
      <c r="EF31" s="27"/>
    </row>
    <row r="32" spans="1:136" ht="18" customHeight="1" x14ac:dyDescent="0.3">
      <c r="A32" s="18"/>
      <c r="B32" s="26"/>
      <c r="C32" s="22"/>
      <c r="D32" s="68"/>
      <c r="E32" s="69"/>
      <c r="F32" s="68"/>
      <c r="G32" s="69"/>
      <c r="H32" s="68"/>
      <c r="I32" s="69"/>
      <c r="J32" s="68"/>
      <c r="K32" s="69"/>
      <c r="L32" s="68"/>
      <c r="M32" s="69"/>
      <c r="N32" s="68"/>
      <c r="O32" s="69"/>
      <c r="P32" s="22"/>
      <c r="Q32" s="27"/>
      <c r="R32" s="20"/>
      <c r="S32" s="26"/>
      <c r="T32" s="22"/>
      <c r="U32" s="68"/>
      <c r="V32" s="69"/>
      <c r="W32" s="68"/>
      <c r="X32" s="69"/>
      <c r="Y32" s="68"/>
      <c r="Z32" s="69"/>
      <c r="AA32" s="68"/>
      <c r="AB32" s="69"/>
      <c r="AC32" s="68"/>
      <c r="AD32" s="69"/>
      <c r="AE32" s="68"/>
      <c r="AF32" s="69"/>
      <c r="AG32" s="22"/>
      <c r="AH32" s="27"/>
      <c r="AJ32" s="26"/>
      <c r="AK32" s="22"/>
      <c r="AL32" s="68"/>
      <c r="AM32" s="69"/>
      <c r="AN32" s="68"/>
      <c r="AO32" s="69"/>
      <c r="AP32" s="68"/>
      <c r="AQ32" s="69"/>
      <c r="AR32" s="68"/>
      <c r="AS32" s="69"/>
      <c r="AT32" s="68"/>
      <c r="AU32" s="69"/>
      <c r="AV32" s="68"/>
      <c r="AW32" s="69"/>
      <c r="AX32" s="22"/>
      <c r="AY32" s="27"/>
      <c r="BA32" s="26"/>
      <c r="BB32" s="22"/>
      <c r="BC32" s="68"/>
      <c r="BD32" s="69"/>
      <c r="BE32" s="68"/>
      <c r="BF32" s="69"/>
      <c r="BG32" s="68"/>
      <c r="BH32" s="69"/>
      <c r="BI32" s="68"/>
      <c r="BJ32" s="69"/>
      <c r="BK32" s="68"/>
      <c r="BL32" s="69"/>
      <c r="BM32" s="68"/>
      <c r="BN32" s="69"/>
      <c r="BO32" s="22"/>
      <c r="BP32" s="27"/>
      <c r="BR32" s="26"/>
      <c r="BS32" s="22"/>
      <c r="BT32" s="68"/>
      <c r="BU32" s="69"/>
      <c r="BV32" s="68"/>
      <c r="BW32" s="69"/>
      <c r="BX32" s="68"/>
      <c r="BY32" s="69"/>
      <c r="BZ32" s="68"/>
      <c r="CA32" s="69"/>
      <c r="CB32" s="68"/>
      <c r="CC32" s="69"/>
      <c r="CD32" s="68"/>
      <c r="CE32" s="69"/>
      <c r="CF32" s="22"/>
      <c r="CG32" s="27"/>
      <c r="CI32" s="26"/>
      <c r="CJ32" s="22"/>
      <c r="CK32" s="68"/>
      <c r="CL32" s="69"/>
      <c r="CM32" s="68"/>
      <c r="CN32" s="69"/>
      <c r="CO32" s="68"/>
      <c r="CP32" s="69"/>
      <c r="CQ32" s="68"/>
      <c r="CR32" s="69"/>
      <c r="CS32" s="68"/>
      <c r="CT32" s="69"/>
      <c r="CU32" s="68"/>
      <c r="CV32" s="69"/>
      <c r="CW32" s="22"/>
      <c r="CX32" s="27"/>
      <c r="CZ32" s="26"/>
      <c r="DA32" s="22"/>
      <c r="DB32" s="68"/>
      <c r="DC32" s="69"/>
      <c r="DD32" s="68"/>
      <c r="DE32" s="69"/>
      <c r="DF32" s="68"/>
      <c r="DG32" s="69"/>
      <c r="DH32" s="68"/>
      <c r="DI32" s="69"/>
      <c r="DJ32" s="68"/>
      <c r="DK32" s="69"/>
      <c r="DL32" s="68"/>
      <c r="DM32" s="69"/>
      <c r="DN32" s="22"/>
      <c r="DO32" s="27"/>
      <c r="DQ32" s="26"/>
      <c r="DR32" s="22"/>
      <c r="DS32" s="68"/>
      <c r="DT32" s="69"/>
      <c r="DU32" s="68"/>
      <c r="DV32" s="69"/>
      <c r="DW32" s="68"/>
      <c r="DX32" s="69"/>
      <c r="DY32" s="68"/>
      <c r="DZ32" s="69"/>
      <c r="EA32" s="68"/>
      <c r="EB32" s="69"/>
      <c r="EC32" s="68"/>
      <c r="ED32" s="69"/>
      <c r="EE32" s="22"/>
      <c r="EF32" s="27"/>
    </row>
    <row r="33" spans="1:137" ht="18" customHeight="1" x14ac:dyDescent="0.3">
      <c r="A33" s="18"/>
      <c r="B33" s="26"/>
      <c r="C33" s="22"/>
      <c r="D33" s="22"/>
      <c r="E33" s="66"/>
      <c r="F33" s="67"/>
      <c r="G33" s="66"/>
      <c r="H33" s="67"/>
      <c r="I33" s="66"/>
      <c r="J33" s="67"/>
      <c r="K33" s="66"/>
      <c r="L33" s="67"/>
      <c r="M33" s="66"/>
      <c r="N33" s="67"/>
      <c r="O33" s="22"/>
      <c r="P33" s="22"/>
      <c r="Q33" s="27"/>
      <c r="R33" s="20"/>
      <c r="S33" s="26"/>
      <c r="T33" s="22"/>
      <c r="U33" s="22"/>
      <c r="V33" s="66"/>
      <c r="W33" s="67"/>
      <c r="X33" s="66"/>
      <c r="Y33" s="67"/>
      <c r="Z33" s="66"/>
      <c r="AA33" s="67"/>
      <c r="AB33" s="66"/>
      <c r="AC33" s="67"/>
      <c r="AD33" s="66"/>
      <c r="AE33" s="67"/>
      <c r="AF33" s="22"/>
      <c r="AG33" s="22"/>
      <c r="AH33" s="27"/>
      <c r="AJ33" s="26"/>
      <c r="AK33" s="22"/>
      <c r="AL33" s="22"/>
      <c r="AM33" s="66"/>
      <c r="AN33" s="67"/>
      <c r="AO33" s="66"/>
      <c r="AP33" s="67"/>
      <c r="AQ33" s="66"/>
      <c r="AR33" s="67"/>
      <c r="AS33" s="66"/>
      <c r="AT33" s="67"/>
      <c r="AU33" s="66"/>
      <c r="AV33" s="67"/>
      <c r="AW33" s="22"/>
      <c r="AX33" s="22"/>
      <c r="AY33" s="27"/>
      <c r="BA33" s="26"/>
      <c r="BB33" s="22"/>
      <c r="BC33" s="22"/>
      <c r="BD33" s="66"/>
      <c r="BE33" s="67"/>
      <c r="BF33" s="66"/>
      <c r="BG33" s="67"/>
      <c r="BH33" s="66"/>
      <c r="BI33" s="67"/>
      <c r="BJ33" s="66"/>
      <c r="BK33" s="67"/>
      <c r="BL33" s="66"/>
      <c r="BM33" s="67"/>
      <c r="BN33" s="22"/>
      <c r="BO33" s="22"/>
      <c r="BP33" s="27"/>
      <c r="BR33" s="26"/>
      <c r="BS33" s="22"/>
      <c r="BT33" s="22"/>
      <c r="BU33" s="66"/>
      <c r="BV33" s="67"/>
      <c r="BW33" s="66"/>
      <c r="BX33" s="67"/>
      <c r="BY33" s="66"/>
      <c r="BZ33" s="67"/>
      <c r="CA33" s="66"/>
      <c r="CB33" s="67"/>
      <c r="CC33" s="66"/>
      <c r="CD33" s="67"/>
      <c r="CE33" s="22"/>
      <c r="CF33" s="22"/>
      <c r="CG33" s="27"/>
      <c r="CI33" s="26"/>
      <c r="CJ33" s="22"/>
      <c r="CK33" s="22"/>
      <c r="CL33" s="66"/>
      <c r="CM33" s="67"/>
      <c r="CN33" s="66"/>
      <c r="CO33" s="67"/>
      <c r="CP33" s="66"/>
      <c r="CQ33" s="67"/>
      <c r="CR33" s="66"/>
      <c r="CS33" s="67"/>
      <c r="CT33" s="66"/>
      <c r="CU33" s="67"/>
      <c r="CV33" s="22"/>
      <c r="CW33" s="22"/>
      <c r="CX33" s="27"/>
      <c r="CZ33" s="26"/>
      <c r="DA33" s="22"/>
      <c r="DB33" s="22"/>
      <c r="DC33" s="66"/>
      <c r="DD33" s="67"/>
      <c r="DE33" s="66"/>
      <c r="DF33" s="67"/>
      <c r="DG33" s="66"/>
      <c r="DH33" s="67"/>
      <c r="DI33" s="66"/>
      <c r="DJ33" s="67"/>
      <c r="DK33" s="66"/>
      <c r="DL33" s="67"/>
      <c r="DM33" s="22"/>
      <c r="DN33" s="22"/>
      <c r="DO33" s="27"/>
      <c r="DQ33" s="26"/>
      <c r="DR33" s="22"/>
      <c r="DS33" s="22"/>
      <c r="DT33" s="66"/>
      <c r="DU33" s="67"/>
      <c r="DV33" s="66"/>
      <c r="DW33" s="67"/>
      <c r="DX33" s="66"/>
      <c r="DY33" s="67"/>
      <c r="DZ33" s="66"/>
      <c r="EA33" s="67"/>
      <c r="EB33" s="66"/>
      <c r="EC33" s="67"/>
      <c r="ED33" s="22"/>
      <c r="EE33" s="22"/>
      <c r="EF33" s="27"/>
    </row>
    <row r="34" spans="1:137" ht="18" customHeight="1" x14ac:dyDescent="0.3">
      <c r="A34" s="18"/>
      <c r="B34" s="26"/>
      <c r="C34" s="22"/>
      <c r="D34" s="22"/>
      <c r="E34" s="68"/>
      <c r="F34" s="69"/>
      <c r="G34" s="68"/>
      <c r="H34" s="69"/>
      <c r="I34" s="68"/>
      <c r="J34" s="69"/>
      <c r="K34" s="68"/>
      <c r="L34" s="69"/>
      <c r="M34" s="68"/>
      <c r="N34" s="69"/>
      <c r="O34" s="22"/>
      <c r="P34" s="22"/>
      <c r="Q34" s="27"/>
      <c r="R34" s="20"/>
      <c r="S34" s="26"/>
      <c r="T34" s="22"/>
      <c r="U34" s="22"/>
      <c r="V34" s="68"/>
      <c r="W34" s="69"/>
      <c r="X34" s="68"/>
      <c r="Y34" s="69"/>
      <c r="Z34" s="68"/>
      <c r="AA34" s="69"/>
      <c r="AB34" s="68"/>
      <c r="AC34" s="69"/>
      <c r="AD34" s="68"/>
      <c r="AE34" s="69"/>
      <c r="AF34" s="22"/>
      <c r="AG34" s="22"/>
      <c r="AH34" s="27"/>
      <c r="AJ34" s="26"/>
      <c r="AK34" s="22"/>
      <c r="AL34" s="22"/>
      <c r="AM34" s="68"/>
      <c r="AN34" s="69"/>
      <c r="AO34" s="68"/>
      <c r="AP34" s="69"/>
      <c r="AQ34" s="68"/>
      <c r="AR34" s="69"/>
      <c r="AS34" s="68"/>
      <c r="AT34" s="69"/>
      <c r="AU34" s="68"/>
      <c r="AV34" s="69"/>
      <c r="AW34" s="22"/>
      <c r="AX34" s="22"/>
      <c r="AY34" s="27"/>
      <c r="BA34" s="26"/>
      <c r="BB34" s="22"/>
      <c r="BC34" s="22"/>
      <c r="BD34" s="68"/>
      <c r="BE34" s="69"/>
      <c r="BF34" s="68"/>
      <c r="BG34" s="69"/>
      <c r="BH34" s="68"/>
      <c r="BI34" s="69"/>
      <c r="BJ34" s="68"/>
      <c r="BK34" s="69"/>
      <c r="BL34" s="68"/>
      <c r="BM34" s="69"/>
      <c r="BN34" s="22"/>
      <c r="BO34" s="22"/>
      <c r="BP34" s="27"/>
      <c r="BR34" s="26"/>
      <c r="BS34" s="22"/>
      <c r="BT34" s="22"/>
      <c r="BU34" s="68"/>
      <c r="BV34" s="69"/>
      <c r="BW34" s="68"/>
      <c r="BX34" s="69"/>
      <c r="BY34" s="68"/>
      <c r="BZ34" s="69"/>
      <c r="CA34" s="68"/>
      <c r="CB34" s="69"/>
      <c r="CC34" s="68"/>
      <c r="CD34" s="69"/>
      <c r="CE34" s="22"/>
      <c r="CF34" s="22"/>
      <c r="CG34" s="27"/>
      <c r="CI34" s="26"/>
      <c r="CJ34" s="22"/>
      <c r="CK34" s="22"/>
      <c r="CL34" s="68"/>
      <c r="CM34" s="69"/>
      <c r="CN34" s="68"/>
      <c r="CO34" s="69"/>
      <c r="CP34" s="68"/>
      <c r="CQ34" s="69"/>
      <c r="CR34" s="68"/>
      <c r="CS34" s="69"/>
      <c r="CT34" s="68"/>
      <c r="CU34" s="69"/>
      <c r="CV34" s="22"/>
      <c r="CW34" s="22"/>
      <c r="CX34" s="27"/>
      <c r="CZ34" s="26"/>
      <c r="DA34" s="22"/>
      <c r="DB34" s="22"/>
      <c r="DC34" s="68"/>
      <c r="DD34" s="69"/>
      <c r="DE34" s="68"/>
      <c r="DF34" s="69"/>
      <c r="DG34" s="68"/>
      <c r="DH34" s="69"/>
      <c r="DI34" s="68"/>
      <c r="DJ34" s="69"/>
      <c r="DK34" s="68"/>
      <c r="DL34" s="69"/>
      <c r="DM34" s="22"/>
      <c r="DN34" s="22"/>
      <c r="DO34" s="27"/>
      <c r="DQ34" s="26"/>
      <c r="DR34" s="22"/>
      <c r="DS34" s="22"/>
      <c r="DT34" s="68"/>
      <c r="DU34" s="69"/>
      <c r="DV34" s="68"/>
      <c r="DW34" s="69"/>
      <c r="DX34" s="68"/>
      <c r="DY34" s="69"/>
      <c r="DZ34" s="68"/>
      <c r="EA34" s="69"/>
      <c r="EB34" s="68"/>
      <c r="EC34" s="69"/>
      <c r="ED34" s="22"/>
      <c r="EE34" s="22"/>
      <c r="EF34" s="27"/>
    </row>
    <row r="35" spans="1:137" ht="18" customHeight="1" x14ac:dyDescent="0.3">
      <c r="A35" s="18"/>
      <c r="B35" s="26"/>
      <c r="C35" s="21"/>
      <c r="D35" s="22"/>
      <c r="E35" s="22"/>
      <c r="F35" s="66"/>
      <c r="G35" s="67"/>
      <c r="H35" s="66"/>
      <c r="I35" s="67"/>
      <c r="J35" s="66"/>
      <c r="K35" s="67"/>
      <c r="L35" s="66"/>
      <c r="M35" s="67"/>
      <c r="N35" s="22"/>
      <c r="O35" s="22"/>
      <c r="P35" s="21"/>
      <c r="Q35" s="27"/>
      <c r="R35" s="20"/>
      <c r="S35" s="26"/>
      <c r="T35" s="21"/>
      <c r="U35" s="22"/>
      <c r="V35" s="22"/>
      <c r="W35" s="66"/>
      <c r="X35" s="67"/>
      <c r="Y35" s="66"/>
      <c r="Z35" s="67"/>
      <c r="AA35" s="66"/>
      <c r="AB35" s="67"/>
      <c r="AC35" s="66"/>
      <c r="AD35" s="67"/>
      <c r="AE35" s="22"/>
      <c r="AF35" s="22"/>
      <c r="AG35" s="21"/>
      <c r="AH35" s="27"/>
      <c r="AJ35" s="26"/>
      <c r="AK35" s="21"/>
      <c r="AL35" s="22"/>
      <c r="AM35" s="22"/>
      <c r="AN35" s="66"/>
      <c r="AO35" s="67"/>
      <c r="AP35" s="66"/>
      <c r="AQ35" s="67"/>
      <c r="AR35" s="66"/>
      <c r="AS35" s="67"/>
      <c r="AT35" s="66"/>
      <c r="AU35" s="67"/>
      <c r="AV35" s="22"/>
      <c r="AW35" s="22"/>
      <c r="AX35" s="21"/>
      <c r="AY35" s="27"/>
      <c r="BA35" s="26"/>
      <c r="BB35" s="21"/>
      <c r="BC35" s="22"/>
      <c r="BD35" s="22"/>
      <c r="BE35" s="66"/>
      <c r="BF35" s="67"/>
      <c r="BG35" s="66"/>
      <c r="BH35" s="67"/>
      <c r="BI35" s="66"/>
      <c r="BJ35" s="67"/>
      <c r="BK35" s="66"/>
      <c r="BL35" s="67"/>
      <c r="BM35" s="22"/>
      <c r="BN35" s="22"/>
      <c r="BO35" s="21"/>
      <c r="BP35" s="27"/>
      <c r="BR35" s="26"/>
      <c r="BS35" s="21"/>
      <c r="BT35" s="22"/>
      <c r="BU35" s="22"/>
      <c r="BV35" s="66"/>
      <c r="BW35" s="67"/>
      <c r="BX35" s="66"/>
      <c r="BY35" s="67"/>
      <c r="BZ35" s="66"/>
      <c r="CA35" s="67"/>
      <c r="CB35" s="66"/>
      <c r="CC35" s="67"/>
      <c r="CD35" s="22"/>
      <c r="CE35" s="22"/>
      <c r="CF35" s="21"/>
      <c r="CG35" s="27"/>
      <c r="CI35" s="26"/>
      <c r="CJ35" s="21"/>
      <c r="CK35" s="22"/>
      <c r="CL35" s="22"/>
      <c r="CM35" s="66"/>
      <c r="CN35" s="67"/>
      <c r="CO35" s="66"/>
      <c r="CP35" s="67"/>
      <c r="CQ35" s="66"/>
      <c r="CR35" s="67"/>
      <c r="CS35" s="66"/>
      <c r="CT35" s="67"/>
      <c r="CU35" s="22"/>
      <c r="CV35" s="22"/>
      <c r="CW35" s="21"/>
      <c r="CX35" s="27"/>
      <c r="CZ35" s="26"/>
      <c r="DA35" s="21"/>
      <c r="DB35" s="22"/>
      <c r="DC35" s="22"/>
      <c r="DD35" s="66"/>
      <c r="DE35" s="67"/>
      <c r="DF35" s="66"/>
      <c r="DG35" s="67"/>
      <c r="DH35" s="66"/>
      <c r="DI35" s="67"/>
      <c r="DJ35" s="66"/>
      <c r="DK35" s="67"/>
      <c r="DL35" s="22"/>
      <c r="DM35" s="22"/>
      <c r="DN35" s="21"/>
      <c r="DO35" s="27"/>
      <c r="DQ35" s="26"/>
      <c r="DR35" s="21"/>
      <c r="DS35" s="22"/>
      <c r="DT35" s="22"/>
      <c r="DU35" s="66"/>
      <c r="DV35" s="67"/>
      <c r="DW35" s="66"/>
      <c r="DX35" s="67"/>
      <c r="DY35" s="66"/>
      <c r="DZ35" s="67"/>
      <c r="EA35" s="66"/>
      <c r="EB35" s="67"/>
      <c r="EC35" s="22"/>
      <c r="ED35" s="22"/>
      <c r="EE35" s="21"/>
      <c r="EF35" s="27"/>
    </row>
    <row r="36" spans="1:137" ht="18" customHeight="1" x14ac:dyDescent="0.3">
      <c r="A36" s="18"/>
      <c r="B36" s="26"/>
      <c r="C36" s="21"/>
      <c r="D36" s="22"/>
      <c r="E36" s="22"/>
      <c r="F36" s="68"/>
      <c r="G36" s="69"/>
      <c r="H36" s="68"/>
      <c r="I36" s="69"/>
      <c r="J36" s="68"/>
      <c r="K36" s="69"/>
      <c r="L36" s="68"/>
      <c r="M36" s="69"/>
      <c r="N36" s="22"/>
      <c r="O36" s="22"/>
      <c r="P36" s="21"/>
      <c r="Q36" s="27"/>
      <c r="R36" s="20"/>
      <c r="S36" s="26"/>
      <c r="T36" s="21"/>
      <c r="U36" s="22"/>
      <c r="V36" s="22"/>
      <c r="W36" s="68"/>
      <c r="X36" s="69"/>
      <c r="Y36" s="68"/>
      <c r="Z36" s="69"/>
      <c r="AA36" s="68"/>
      <c r="AB36" s="69"/>
      <c r="AC36" s="68"/>
      <c r="AD36" s="69"/>
      <c r="AE36" s="22"/>
      <c r="AF36" s="22"/>
      <c r="AG36" s="21"/>
      <c r="AH36" s="27"/>
      <c r="AJ36" s="26"/>
      <c r="AK36" s="21"/>
      <c r="AL36" s="22"/>
      <c r="AM36" s="22"/>
      <c r="AN36" s="68"/>
      <c r="AO36" s="69"/>
      <c r="AP36" s="68"/>
      <c r="AQ36" s="69"/>
      <c r="AR36" s="68"/>
      <c r="AS36" s="69"/>
      <c r="AT36" s="68"/>
      <c r="AU36" s="69"/>
      <c r="AV36" s="22"/>
      <c r="AW36" s="22"/>
      <c r="AX36" s="21"/>
      <c r="AY36" s="27"/>
      <c r="BA36" s="26"/>
      <c r="BB36" s="21"/>
      <c r="BC36" s="22"/>
      <c r="BD36" s="22"/>
      <c r="BE36" s="68"/>
      <c r="BF36" s="69"/>
      <c r="BG36" s="68"/>
      <c r="BH36" s="69"/>
      <c r="BI36" s="68"/>
      <c r="BJ36" s="69"/>
      <c r="BK36" s="68"/>
      <c r="BL36" s="69"/>
      <c r="BM36" s="22"/>
      <c r="BN36" s="22"/>
      <c r="BO36" s="21"/>
      <c r="BP36" s="27"/>
      <c r="BR36" s="26"/>
      <c r="BS36" s="21"/>
      <c r="BT36" s="22"/>
      <c r="BU36" s="22"/>
      <c r="BV36" s="68"/>
      <c r="BW36" s="69"/>
      <c r="BX36" s="68"/>
      <c r="BY36" s="69"/>
      <c r="BZ36" s="68"/>
      <c r="CA36" s="69"/>
      <c r="CB36" s="68"/>
      <c r="CC36" s="69"/>
      <c r="CD36" s="22"/>
      <c r="CE36" s="22"/>
      <c r="CF36" s="21"/>
      <c r="CG36" s="27"/>
      <c r="CI36" s="26"/>
      <c r="CJ36" s="21"/>
      <c r="CK36" s="22"/>
      <c r="CL36" s="22"/>
      <c r="CM36" s="68"/>
      <c r="CN36" s="69"/>
      <c r="CO36" s="68"/>
      <c r="CP36" s="69"/>
      <c r="CQ36" s="68"/>
      <c r="CR36" s="69"/>
      <c r="CS36" s="68"/>
      <c r="CT36" s="69"/>
      <c r="CU36" s="22"/>
      <c r="CV36" s="22"/>
      <c r="CW36" s="21"/>
      <c r="CX36" s="27"/>
      <c r="CZ36" s="26"/>
      <c r="DA36" s="21"/>
      <c r="DB36" s="22"/>
      <c r="DC36" s="22"/>
      <c r="DD36" s="68"/>
      <c r="DE36" s="69"/>
      <c r="DF36" s="68"/>
      <c r="DG36" s="69"/>
      <c r="DH36" s="68"/>
      <c r="DI36" s="69"/>
      <c r="DJ36" s="68"/>
      <c r="DK36" s="69"/>
      <c r="DL36" s="22"/>
      <c r="DM36" s="22"/>
      <c r="DN36" s="21"/>
      <c r="DO36" s="27"/>
      <c r="DQ36" s="26"/>
      <c r="DR36" s="21"/>
      <c r="DS36" s="22"/>
      <c r="DT36" s="22"/>
      <c r="DU36" s="68"/>
      <c r="DV36" s="69"/>
      <c r="DW36" s="68"/>
      <c r="DX36" s="69"/>
      <c r="DY36" s="68"/>
      <c r="DZ36" s="69"/>
      <c r="EA36" s="68"/>
      <c r="EB36" s="69"/>
      <c r="EC36" s="22"/>
      <c r="ED36" s="22"/>
      <c r="EE36" s="21"/>
      <c r="EF36" s="27"/>
    </row>
    <row r="37" spans="1:137" ht="18" customHeight="1" x14ac:dyDescent="0.3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8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8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8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8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8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8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8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8"/>
    </row>
    <row r="38" spans="1:137" ht="18" customHeight="1" x14ac:dyDescent="0.3">
      <c r="A38" s="18"/>
      <c r="B38" s="29"/>
      <c r="C38" s="82" t="str">
        <f>GetHexStr(C23:P36)</f>
        <v>(-1,-2,2,);(1,-2,2,);(-2,0,2,);(0,0,2,);</v>
      </c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4"/>
      <c r="Q38" s="28"/>
      <c r="S38" s="29"/>
      <c r="T38" s="82" t="str">
        <f>GetHexStr(T23:AG36)</f>
        <v>(-1,-2,2,);(1,-2,2,);(0,0,2,);(2,0,2,);</v>
      </c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4"/>
      <c r="AH38" s="28"/>
      <c r="AJ38" s="29"/>
      <c r="AK38" s="82" t="str">
        <f>GetHexStr(AK23:AX36)</f>
        <v>(-1,-2,2,);(-2,0,2,);(0,0,2,);(-1,2,2,);</v>
      </c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28"/>
      <c r="BA38" s="29"/>
      <c r="BB38" s="82" t="str">
        <f>GetHexStr(BB23:BO36)</f>
        <v>(1,-2,4,);(-2,0,4,);(0,0,4,);(-1,2,4,);</v>
      </c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4"/>
      <c r="BP38" s="28"/>
      <c r="BR38" s="29"/>
      <c r="BS38" s="82" t="str">
        <f>GetHexStr(BS23:CF36)</f>
        <v>(1,-2,4,);(0,0,4,);(-1,2,4,);(1,2,4,);</v>
      </c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4"/>
      <c r="CG38" s="28"/>
      <c r="CI38" s="29"/>
      <c r="CJ38" s="82" t="str">
        <f>GetHexStr(CJ23:CW36)</f>
        <v>(1,-2,4,);(0,0,4,);(2,0,4,);(-1,2,4,);</v>
      </c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4"/>
      <c r="CX38" s="28"/>
      <c r="CZ38" s="29"/>
      <c r="DA38" s="82" t="str">
        <f>GetHexStr(DA23:DN36)</f>
        <v>(-1,-2,4,);(1,-2,4,);(0,0,4,);(-1,2,4,);</v>
      </c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4"/>
      <c r="DO38" s="28"/>
      <c r="DQ38" s="29"/>
      <c r="DR38" s="82" t="str">
        <f>GetHexStr(DR23:EE36)</f>
        <v>(-1,-2,4,);(0,0,4,);(-1,2,4,);(1,2,4,);</v>
      </c>
      <c r="DS38" s="83"/>
      <c r="DT38" s="83"/>
      <c r="DU38" s="83"/>
      <c r="DV38" s="83"/>
      <c r="DW38" s="83"/>
      <c r="DX38" s="83"/>
      <c r="DY38" s="83"/>
      <c r="DZ38" s="83"/>
      <c r="EA38" s="83"/>
      <c r="EB38" s="83"/>
      <c r="EC38" s="83"/>
      <c r="ED38" s="83"/>
      <c r="EE38" s="84"/>
      <c r="EF38" s="28"/>
    </row>
    <row r="39" spans="1:137" ht="18" customHeight="1" x14ac:dyDescent="0.3">
      <c r="B39" s="29"/>
      <c r="C39" s="85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7"/>
      <c r="Q39" s="28"/>
      <c r="S39" s="29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7"/>
      <c r="AH39" s="28"/>
      <c r="AJ39" s="29"/>
      <c r="AK39" s="85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7"/>
      <c r="AY39" s="28"/>
      <c r="BA39" s="29"/>
      <c r="BB39" s="85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7"/>
      <c r="BP39" s="28"/>
      <c r="BR39" s="29"/>
      <c r="BS39" s="85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7"/>
      <c r="CG39" s="28"/>
      <c r="CI39" s="29"/>
      <c r="CJ39" s="85"/>
      <c r="CK39" s="86"/>
      <c r="CL39" s="86"/>
      <c r="CM39" s="86"/>
      <c r="CN39" s="86"/>
      <c r="CO39" s="86"/>
      <c r="CP39" s="86"/>
      <c r="CQ39" s="86"/>
      <c r="CR39" s="86"/>
      <c r="CS39" s="86"/>
      <c r="CT39" s="86"/>
      <c r="CU39" s="86"/>
      <c r="CV39" s="86"/>
      <c r="CW39" s="87"/>
      <c r="CX39" s="28"/>
      <c r="CZ39" s="29"/>
      <c r="DA39" s="85"/>
      <c r="DB39" s="86"/>
      <c r="DC39" s="86"/>
      <c r="DD39" s="86"/>
      <c r="DE39" s="86"/>
      <c r="DF39" s="86"/>
      <c r="DG39" s="86"/>
      <c r="DH39" s="86"/>
      <c r="DI39" s="86"/>
      <c r="DJ39" s="86"/>
      <c r="DK39" s="86"/>
      <c r="DL39" s="86"/>
      <c r="DM39" s="86"/>
      <c r="DN39" s="87"/>
      <c r="DO39" s="28"/>
      <c r="DQ39" s="29"/>
      <c r="DR39" s="85"/>
      <c r="DS39" s="86"/>
      <c r="DT39" s="86"/>
      <c r="DU39" s="86"/>
      <c r="DV39" s="86"/>
      <c r="DW39" s="86"/>
      <c r="DX39" s="86"/>
      <c r="DY39" s="86"/>
      <c r="DZ39" s="86"/>
      <c r="EA39" s="86"/>
      <c r="EB39" s="86"/>
      <c r="EC39" s="86"/>
      <c r="ED39" s="86"/>
      <c r="EE39" s="87"/>
      <c r="EF39" s="28"/>
    </row>
    <row r="40" spans="1:137" ht="18" customHeight="1" thickBot="1" x14ac:dyDescent="0.35">
      <c r="B40" s="30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2"/>
      <c r="S40" s="30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2"/>
      <c r="AJ40" s="30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2"/>
      <c r="BA40" s="30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2"/>
      <c r="BR40" s="30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2"/>
      <c r="CI40" s="30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2"/>
      <c r="CZ40" s="30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2"/>
      <c r="DQ40" s="30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2"/>
    </row>
    <row r="41" spans="1:137" ht="18" customHeight="1" thickBot="1" x14ac:dyDescent="0.3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3">
      <c r="A42" s="18"/>
      <c r="B42" s="23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5"/>
      <c r="R42" s="20"/>
      <c r="S42" s="23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5"/>
      <c r="AJ42" s="23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5"/>
      <c r="BA42" s="23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5"/>
      <c r="BR42" s="23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5"/>
      <c r="CI42" s="23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5"/>
      <c r="CZ42" s="23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5"/>
      <c r="DQ42" s="23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43"/>
      <c r="EG42" s="35"/>
    </row>
    <row r="43" spans="1:137" ht="18" customHeight="1" x14ac:dyDescent="0.3">
      <c r="A43" s="18"/>
      <c r="B43" s="26"/>
      <c r="C43" s="21"/>
      <c r="D43" s="22"/>
      <c r="E43" s="22"/>
      <c r="F43" s="66"/>
      <c r="G43" s="67"/>
      <c r="H43" s="66"/>
      <c r="I43" s="67"/>
      <c r="J43" s="66"/>
      <c r="K43" s="67"/>
      <c r="L43" s="66"/>
      <c r="M43" s="67"/>
      <c r="N43" s="22"/>
      <c r="O43" s="22"/>
      <c r="P43" s="21"/>
      <c r="Q43" s="27"/>
      <c r="R43" s="20"/>
      <c r="S43" s="26"/>
      <c r="T43" s="21"/>
      <c r="U43" s="22"/>
      <c r="V43" s="22"/>
      <c r="W43" s="66"/>
      <c r="X43" s="67"/>
      <c r="Y43" s="66"/>
      <c r="Z43" s="67"/>
      <c r="AA43" s="66"/>
      <c r="AB43" s="67"/>
      <c r="AC43" s="66"/>
      <c r="AD43" s="67"/>
      <c r="AE43" s="22"/>
      <c r="AF43" s="22"/>
      <c r="AG43" s="21"/>
      <c r="AH43" s="27"/>
      <c r="AJ43" s="26"/>
      <c r="AK43" s="21"/>
      <c r="AL43" s="22"/>
      <c r="AM43" s="22"/>
      <c r="AN43" s="66"/>
      <c r="AO43" s="67"/>
      <c r="AP43" s="66"/>
      <c r="AQ43" s="67"/>
      <c r="AR43" s="66"/>
      <c r="AS43" s="67"/>
      <c r="AT43" s="66"/>
      <c r="AU43" s="67"/>
      <c r="AV43" s="22"/>
      <c r="AW43" s="22"/>
      <c r="AX43" s="21"/>
      <c r="AY43" s="27"/>
      <c r="BA43" s="26"/>
      <c r="BB43" s="21"/>
      <c r="BC43" s="22"/>
      <c r="BD43" s="22"/>
      <c r="BE43" s="66"/>
      <c r="BF43" s="67"/>
      <c r="BG43" s="66"/>
      <c r="BH43" s="67"/>
      <c r="BI43" s="66"/>
      <c r="BJ43" s="67"/>
      <c r="BK43" s="66"/>
      <c r="BL43" s="67"/>
      <c r="BM43" s="22"/>
      <c r="BN43" s="22"/>
      <c r="BO43" s="21"/>
      <c r="BP43" s="27"/>
      <c r="BR43" s="26"/>
      <c r="BS43" s="21"/>
      <c r="BT43" s="22"/>
      <c r="BU43" s="22"/>
      <c r="BV43" s="66"/>
      <c r="BW43" s="67"/>
      <c r="BX43" s="66"/>
      <c r="BY43" s="67"/>
      <c r="BZ43" s="66"/>
      <c r="CA43" s="67"/>
      <c r="CB43" s="66"/>
      <c r="CC43" s="67"/>
      <c r="CD43" s="22"/>
      <c r="CE43" s="22"/>
      <c r="CF43" s="21"/>
      <c r="CG43" s="27"/>
      <c r="CI43" s="26"/>
      <c r="CJ43" s="21"/>
      <c r="CK43" s="22"/>
      <c r="CL43" s="22"/>
      <c r="CM43" s="66"/>
      <c r="CN43" s="67"/>
      <c r="CO43" s="66"/>
      <c r="CP43" s="67"/>
      <c r="CQ43" s="66"/>
      <c r="CR43" s="67"/>
      <c r="CS43" s="66"/>
      <c r="CT43" s="67"/>
      <c r="CU43" s="22"/>
      <c r="CV43" s="22"/>
      <c r="CW43" s="21"/>
      <c r="CX43" s="27"/>
      <c r="CZ43" s="26"/>
      <c r="DA43" s="21"/>
      <c r="DB43" s="22"/>
      <c r="DC43" s="22"/>
      <c r="DD43" s="66"/>
      <c r="DE43" s="67"/>
      <c r="DF43" s="66"/>
      <c r="DG43" s="67"/>
      <c r="DH43" s="66"/>
      <c r="DI43" s="67"/>
      <c r="DJ43" s="66"/>
      <c r="DK43" s="67"/>
      <c r="DL43" s="22"/>
      <c r="DM43" s="22"/>
      <c r="DN43" s="21"/>
      <c r="DO43" s="27"/>
      <c r="DQ43" s="26"/>
      <c r="DR43" s="21"/>
      <c r="DS43" s="22"/>
      <c r="DT43" s="22"/>
      <c r="DU43" s="66"/>
      <c r="DV43" s="67"/>
      <c r="DW43" s="66"/>
      <c r="DX43" s="67"/>
      <c r="DY43" s="66"/>
      <c r="DZ43" s="67"/>
      <c r="EA43" s="66"/>
      <c r="EB43" s="67"/>
      <c r="EC43" s="22"/>
      <c r="ED43" s="22"/>
      <c r="EE43" s="21"/>
      <c r="EF43" s="44"/>
      <c r="EG43" s="35"/>
    </row>
    <row r="44" spans="1:137" ht="18" customHeight="1" x14ac:dyDescent="0.3">
      <c r="A44" s="18"/>
      <c r="B44" s="26"/>
      <c r="C44" s="21"/>
      <c r="D44" s="22"/>
      <c r="E44" s="22"/>
      <c r="F44" s="68"/>
      <c r="G44" s="69"/>
      <c r="H44" s="68"/>
      <c r="I44" s="69"/>
      <c r="J44" s="68"/>
      <c r="K44" s="69"/>
      <c r="L44" s="68"/>
      <c r="M44" s="69"/>
      <c r="N44" s="22"/>
      <c r="O44" s="22"/>
      <c r="P44" s="21"/>
      <c r="Q44" s="27"/>
      <c r="R44" s="20"/>
      <c r="S44" s="26"/>
      <c r="T44" s="21"/>
      <c r="U44" s="22"/>
      <c r="V44" s="22"/>
      <c r="W44" s="68"/>
      <c r="X44" s="69"/>
      <c r="Y44" s="68"/>
      <c r="Z44" s="69"/>
      <c r="AA44" s="68"/>
      <c r="AB44" s="69"/>
      <c r="AC44" s="68"/>
      <c r="AD44" s="69"/>
      <c r="AE44" s="22"/>
      <c r="AF44" s="22"/>
      <c r="AG44" s="21"/>
      <c r="AH44" s="27"/>
      <c r="AJ44" s="26"/>
      <c r="AK44" s="21"/>
      <c r="AL44" s="22"/>
      <c r="AM44" s="22"/>
      <c r="AN44" s="68"/>
      <c r="AO44" s="69"/>
      <c r="AP44" s="68"/>
      <c r="AQ44" s="69"/>
      <c r="AR44" s="68"/>
      <c r="AS44" s="69"/>
      <c r="AT44" s="68"/>
      <c r="AU44" s="69"/>
      <c r="AV44" s="22"/>
      <c r="AW44" s="22"/>
      <c r="AX44" s="21"/>
      <c r="AY44" s="27"/>
      <c r="BA44" s="26"/>
      <c r="BB44" s="21"/>
      <c r="BC44" s="22"/>
      <c r="BD44" s="22"/>
      <c r="BE44" s="68"/>
      <c r="BF44" s="69"/>
      <c r="BG44" s="68"/>
      <c r="BH44" s="69"/>
      <c r="BI44" s="68"/>
      <c r="BJ44" s="69"/>
      <c r="BK44" s="68"/>
      <c r="BL44" s="69"/>
      <c r="BM44" s="22"/>
      <c r="BN44" s="22"/>
      <c r="BO44" s="21"/>
      <c r="BP44" s="27"/>
      <c r="BR44" s="26"/>
      <c r="BS44" s="21"/>
      <c r="BT44" s="22"/>
      <c r="BU44" s="22"/>
      <c r="BV44" s="68"/>
      <c r="BW44" s="69"/>
      <c r="BX44" s="68"/>
      <c r="BY44" s="69"/>
      <c r="BZ44" s="68"/>
      <c r="CA44" s="69"/>
      <c r="CB44" s="68"/>
      <c r="CC44" s="69"/>
      <c r="CD44" s="22"/>
      <c r="CE44" s="22"/>
      <c r="CF44" s="21"/>
      <c r="CG44" s="27"/>
      <c r="CI44" s="26"/>
      <c r="CJ44" s="21"/>
      <c r="CK44" s="22"/>
      <c r="CL44" s="22"/>
      <c r="CM44" s="68"/>
      <c r="CN44" s="69"/>
      <c r="CO44" s="68"/>
      <c r="CP44" s="69"/>
      <c r="CQ44" s="68"/>
      <c r="CR44" s="69"/>
      <c r="CS44" s="68"/>
      <c r="CT44" s="69"/>
      <c r="CU44" s="22"/>
      <c r="CV44" s="22"/>
      <c r="CW44" s="21"/>
      <c r="CX44" s="27"/>
      <c r="CZ44" s="26"/>
      <c r="DA44" s="21"/>
      <c r="DB44" s="22"/>
      <c r="DC44" s="22"/>
      <c r="DD44" s="68"/>
      <c r="DE44" s="69"/>
      <c r="DF44" s="68"/>
      <c r="DG44" s="69"/>
      <c r="DH44" s="68"/>
      <c r="DI44" s="69"/>
      <c r="DJ44" s="68"/>
      <c r="DK44" s="69"/>
      <c r="DL44" s="22"/>
      <c r="DM44" s="22"/>
      <c r="DN44" s="21"/>
      <c r="DO44" s="27"/>
      <c r="DQ44" s="26"/>
      <c r="DR44" s="21"/>
      <c r="DS44" s="22"/>
      <c r="DT44" s="22"/>
      <c r="DU44" s="68"/>
      <c r="DV44" s="69"/>
      <c r="DW44" s="68"/>
      <c r="DX44" s="69"/>
      <c r="DY44" s="68"/>
      <c r="DZ44" s="69"/>
      <c r="EA44" s="68"/>
      <c r="EB44" s="69"/>
      <c r="EC44" s="22"/>
      <c r="ED44" s="22"/>
      <c r="EE44" s="21"/>
      <c r="EF44" s="44"/>
      <c r="EG44" s="35"/>
    </row>
    <row r="45" spans="1:137" ht="18" customHeight="1" x14ac:dyDescent="0.3">
      <c r="A45" s="18"/>
      <c r="B45" s="26"/>
      <c r="C45" s="22"/>
      <c r="D45" s="22"/>
      <c r="E45" s="66"/>
      <c r="F45" s="67"/>
      <c r="G45" s="66"/>
      <c r="H45" s="67"/>
      <c r="I45" s="66"/>
      <c r="J45" s="67"/>
      <c r="K45" s="66"/>
      <c r="L45" s="67"/>
      <c r="M45" s="66"/>
      <c r="N45" s="67"/>
      <c r="O45" s="22"/>
      <c r="P45" s="22"/>
      <c r="Q45" s="27"/>
      <c r="R45" s="20"/>
      <c r="S45" s="26"/>
      <c r="T45" s="22"/>
      <c r="U45" s="22"/>
      <c r="V45" s="66"/>
      <c r="W45" s="67"/>
      <c r="X45" s="66"/>
      <c r="Y45" s="67"/>
      <c r="Z45" s="66"/>
      <c r="AA45" s="67"/>
      <c r="AB45" s="66"/>
      <c r="AC45" s="67"/>
      <c r="AD45" s="66"/>
      <c r="AE45" s="67"/>
      <c r="AF45" s="22"/>
      <c r="AG45" s="22"/>
      <c r="AH45" s="27"/>
      <c r="AJ45" s="26"/>
      <c r="AK45" s="22"/>
      <c r="AL45" s="22"/>
      <c r="AM45" s="66"/>
      <c r="AN45" s="67"/>
      <c r="AO45" s="66"/>
      <c r="AP45" s="67"/>
      <c r="AQ45" s="66"/>
      <c r="AR45" s="67"/>
      <c r="AS45" s="66"/>
      <c r="AT45" s="67"/>
      <c r="AU45" s="66"/>
      <c r="AV45" s="67"/>
      <c r="AW45" s="22"/>
      <c r="AX45" s="22"/>
      <c r="AY45" s="27"/>
      <c r="BA45" s="26"/>
      <c r="BB45" s="22"/>
      <c r="BC45" s="22"/>
      <c r="BD45" s="66"/>
      <c r="BE45" s="67"/>
      <c r="BF45" s="66"/>
      <c r="BG45" s="67"/>
      <c r="BH45" s="66"/>
      <c r="BI45" s="67"/>
      <c r="BJ45" s="66"/>
      <c r="BK45" s="67"/>
      <c r="BL45" s="66"/>
      <c r="BM45" s="67"/>
      <c r="BN45" s="22"/>
      <c r="BO45" s="22"/>
      <c r="BP45" s="27"/>
      <c r="BR45" s="26"/>
      <c r="BS45" s="22"/>
      <c r="BT45" s="22"/>
      <c r="BU45" s="66"/>
      <c r="BV45" s="67"/>
      <c r="BW45" s="66"/>
      <c r="BX45" s="67"/>
      <c r="BY45" s="66"/>
      <c r="BZ45" s="67"/>
      <c r="CA45" s="66"/>
      <c r="CB45" s="67"/>
      <c r="CC45" s="66"/>
      <c r="CD45" s="67"/>
      <c r="CE45" s="22"/>
      <c r="CF45" s="22"/>
      <c r="CG45" s="27"/>
      <c r="CI45" s="26"/>
      <c r="CJ45" s="22"/>
      <c r="CK45" s="22"/>
      <c r="CL45" s="66"/>
      <c r="CM45" s="67"/>
      <c r="CN45" s="66"/>
      <c r="CO45" s="67"/>
      <c r="CP45" s="66"/>
      <c r="CQ45" s="67"/>
      <c r="CR45" s="66"/>
      <c r="CS45" s="67"/>
      <c r="CT45" s="66"/>
      <c r="CU45" s="67"/>
      <c r="CV45" s="22"/>
      <c r="CW45" s="22"/>
      <c r="CX45" s="27"/>
      <c r="CZ45" s="26"/>
      <c r="DA45" s="22"/>
      <c r="DB45" s="22"/>
      <c r="DC45" s="66"/>
      <c r="DD45" s="67"/>
      <c r="DE45" s="66"/>
      <c r="DF45" s="67"/>
      <c r="DG45" s="66"/>
      <c r="DH45" s="67"/>
      <c r="DI45" s="66"/>
      <c r="DJ45" s="67"/>
      <c r="DK45" s="66"/>
      <c r="DL45" s="67"/>
      <c r="DM45" s="22"/>
      <c r="DN45" s="22"/>
      <c r="DO45" s="27"/>
      <c r="DQ45" s="26"/>
      <c r="DR45" s="22"/>
      <c r="DS45" s="22"/>
      <c r="DT45" s="66"/>
      <c r="DU45" s="67"/>
      <c r="DV45" s="66"/>
      <c r="DW45" s="67"/>
      <c r="DX45" s="66"/>
      <c r="DY45" s="67"/>
      <c r="DZ45" s="66"/>
      <c r="EA45" s="67"/>
      <c r="EB45" s="66"/>
      <c r="EC45" s="67"/>
      <c r="ED45" s="22"/>
      <c r="EE45" s="22"/>
      <c r="EF45" s="44"/>
      <c r="EG45" s="35"/>
    </row>
    <row r="46" spans="1:137" ht="18" customHeight="1" x14ac:dyDescent="0.3">
      <c r="A46" s="18"/>
      <c r="B46" s="26"/>
      <c r="C46" s="22"/>
      <c r="D46" s="22"/>
      <c r="E46" s="68"/>
      <c r="F46" s="69"/>
      <c r="G46" s="68"/>
      <c r="H46" s="69"/>
      <c r="I46" s="68"/>
      <c r="J46" s="69"/>
      <c r="K46" s="68"/>
      <c r="L46" s="69"/>
      <c r="M46" s="68"/>
      <c r="N46" s="69"/>
      <c r="O46" s="22"/>
      <c r="P46" s="22"/>
      <c r="Q46" s="27"/>
      <c r="R46" s="20"/>
      <c r="S46" s="26"/>
      <c r="T46" s="22"/>
      <c r="U46" s="22"/>
      <c r="V46" s="68"/>
      <c r="W46" s="69"/>
      <c r="X46" s="68"/>
      <c r="Y46" s="69"/>
      <c r="Z46" s="68"/>
      <c r="AA46" s="69"/>
      <c r="AB46" s="68"/>
      <c r="AC46" s="69"/>
      <c r="AD46" s="68"/>
      <c r="AE46" s="69"/>
      <c r="AF46" s="22"/>
      <c r="AG46" s="22"/>
      <c r="AH46" s="27"/>
      <c r="AJ46" s="26"/>
      <c r="AK46" s="22"/>
      <c r="AL46" s="22"/>
      <c r="AM46" s="68"/>
      <c r="AN46" s="69"/>
      <c r="AO46" s="68"/>
      <c r="AP46" s="69"/>
      <c r="AQ46" s="68"/>
      <c r="AR46" s="69"/>
      <c r="AS46" s="68"/>
      <c r="AT46" s="69"/>
      <c r="AU46" s="68"/>
      <c r="AV46" s="69"/>
      <c r="AW46" s="22"/>
      <c r="AX46" s="22"/>
      <c r="AY46" s="27"/>
      <c r="BA46" s="26"/>
      <c r="BB46" s="22"/>
      <c r="BC46" s="22"/>
      <c r="BD46" s="68"/>
      <c r="BE46" s="69"/>
      <c r="BF46" s="68"/>
      <c r="BG46" s="69"/>
      <c r="BH46" s="68"/>
      <c r="BI46" s="69"/>
      <c r="BJ46" s="68"/>
      <c r="BK46" s="69"/>
      <c r="BL46" s="68"/>
      <c r="BM46" s="69"/>
      <c r="BN46" s="22"/>
      <c r="BO46" s="22"/>
      <c r="BP46" s="27"/>
      <c r="BR46" s="26"/>
      <c r="BS46" s="22"/>
      <c r="BT46" s="22"/>
      <c r="BU46" s="68"/>
      <c r="BV46" s="69"/>
      <c r="BW46" s="68"/>
      <c r="BX46" s="69"/>
      <c r="BY46" s="68"/>
      <c r="BZ46" s="69"/>
      <c r="CA46" s="68"/>
      <c r="CB46" s="69"/>
      <c r="CC46" s="68"/>
      <c r="CD46" s="69"/>
      <c r="CE46" s="22"/>
      <c r="CF46" s="22"/>
      <c r="CG46" s="27"/>
      <c r="CI46" s="26"/>
      <c r="CJ46" s="22"/>
      <c r="CK46" s="22"/>
      <c r="CL46" s="68"/>
      <c r="CM46" s="69"/>
      <c r="CN46" s="68"/>
      <c r="CO46" s="69"/>
      <c r="CP46" s="68"/>
      <c r="CQ46" s="69"/>
      <c r="CR46" s="68"/>
      <c r="CS46" s="69"/>
      <c r="CT46" s="68"/>
      <c r="CU46" s="69"/>
      <c r="CV46" s="22"/>
      <c r="CW46" s="22"/>
      <c r="CX46" s="27"/>
      <c r="CZ46" s="26"/>
      <c r="DA46" s="22"/>
      <c r="DB46" s="22"/>
      <c r="DC46" s="68"/>
      <c r="DD46" s="69"/>
      <c r="DE46" s="68"/>
      <c r="DF46" s="69"/>
      <c r="DG46" s="68"/>
      <c r="DH46" s="69"/>
      <c r="DI46" s="68"/>
      <c r="DJ46" s="69"/>
      <c r="DK46" s="68"/>
      <c r="DL46" s="69"/>
      <c r="DM46" s="22"/>
      <c r="DN46" s="22"/>
      <c r="DO46" s="27"/>
      <c r="DQ46" s="26"/>
      <c r="DR46" s="22"/>
      <c r="DS46" s="22"/>
      <c r="DT46" s="68"/>
      <c r="DU46" s="69"/>
      <c r="DV46" s="68"/>
      <c r="DW46" s="69"/>
      <c r="DX46" s="68"/>
      <c r="DY46" s="69"/>
      <c r="DZ46" s="68"/>
      <c r="EA46" s="69"/>
      <c r="EB46" s="68"/>
      <c r="EC46" s="69"/>
      <c r="ED46" s="22"/>
      <c r="EE46" s="22"/>
      <c r="EF46" s="44"/>
      <c r="EG46" s="35"/>
    </row>
    <row r="47" spans="1:137" ht="18" customHeight="1" x14ac:dyDescent="0.3">
      <c r="A47" s="18"/>
      <c r="B47" s="26"/>
      <c r="C47" s="22"/>
      <c r="D47" s="66"/>
      <c r="E47" s="67"/>
      <c r="F47" s="66"/>
      <c r="G47" s="67"/>
      <c r="H47" s="71">
        <v>4</v>
      </c>
      <c r="I47" s="67"/>
      <c r="J47" s="66"/>
      <c r="K47" s="67"/>
      <c r="L47" s="66"/>
      <c r="M47" s="67"/>
      <c r="N47" s="66"/>
      <c r="O47" s="67"/>
      <c r="P47" s="22"/>
      <c r="Q47" s="27"/>
      <c r="R47" s="20"/>
      <c r="S47" s="26"/>
      <c r="T47" s="22"/>
      <c r="U47" s="66"/>
      <c r="V47" s="67"/>
      <c r="W47" s="66"/>
      <c r="X47" s="67"/>
      <c r="Y47" s="71">
        <v>4</v>
      </c>
      <c r="Z47" s="67"/>
      <c r="AA47" s="66"/>
      <c r="AB47" s="67"/>
      <c r="AC47" s="66"/>
      <c r="AD47" s="67"/>
      <c r="AE47" s="66"/>
      <c r="AF47" s="67"/>
      <c r="AG47" s="22"/>
      <c r="AH47" s="27"/>
      <c r="AJ47" s="26"/>
      <c r="AK47" s="22"/>
      <c r="AL47" s="66"/>
      <c r="AM47" s="67"/>
      <c r="AN47" s="66"/>
      <c r="AO47" s="67"/>
      <c r="AP47" s="71">
        <v>4</v>
      </c>
      <c r="AQ47" s="67"/>
      <c r="AR47" s="71">
        <v>4</v>
      </c>
      <c r="AS47" s="67"/>
      <c r="AT47" s="66"/>
      <c r="AU47" s="67"/>
      <c r="AV47" s="66"/>
      <c r="AW47" s="67"/>
      <c r="AX47" s="22"/>
      <c r="AY47" s="27"/>
      <c r="BA47" s="26"/>
      <c r="BB47" s="22"/>
      <c r="BC47" s="66"/>
      <c r="BD47" s="67"/>
      <c r="BE47" s="66"/>
      <c r="BF47" s="67"/>
      <c r="BG47" s="73">
        <v>3</v>
      </c>
      <c r="BH47" s="67"/>
      <c r="BI47" s="66"/>
      <c r="BJ47" s="67"/>
      <c r="BK47" s="66"/>
      <c r="BL47" s="67"/>
      <c r="BM47" s="66"/>
      <c r="BN47" s="67"/>
      <c r="BO47" s="22"/>
      <c r="BP47" s="27"/>
      <c r="BR47" s="26"/>
      <c r="BS47" s="22"/>
      <c r="BT47" s="66"/>
      <c r="BU47" s="67"/>
      <c r="BV47" s="66"/>
      <c r="BW47" s="67"/>
      <c r="BX47" s="66"/>
      <c r="BY47" s="67"/>
      <c r="BZ47" s="73">
        <v>3</v>
      </c>
      <c r="CA47" s="67"/>
      <c r="CB47" s="66"/>
      <c r="CC47" s="67"/>
      <c r="CD47" s="66"/>
      <c r="CE47" s="67"/>
      <c r="CF47" s="22"/>
      <c r="CG47" s="27"/>
      <c r="CI47" s="26"/>
      <c r="CJ47" s="22"/>
      <c r="CK47" s="66"/>
      <c r="CL47" s="67"/>
      <c r="CM47" s="66"/>
      <c r="CN47" s="67"/>
      <c r="CO47" s="73">
        <v>3</v>
      </c>
      <c r="CP47" s="67"/>
      <c r="CQ47" s="73">
        <v>3</v>
      </c>
      <c r="CR47" s="67"/>
      <c r="CS47" s="66"/>
      <c r="CT47" s="67"/>
      <c r="CU47" s="66"/>
      <c r="CV47" s="67"/>
      <c r="CW47" s="22"/>
      <c r="CX47" s="27"/>
      <c r="CZ47" s="26"/>
      <c r="DA47" s="22"/>
      <c r="DB47" s="66"/>
      <c r="DC47" s="67"/>
      <c r="DD47" s="66"/>
      <c r="DE47" s="67"/>
      <c r="DF47" s="73">
        <v>3</v>
      </c>
      <c r="DG47" s="67"/>
      <c r="DH47" s="73">
        <v>3</v>
      </c>
      <c r="DI47" s="67"/>
      <c r="DJ47" s="66"/>
      <c r="DK47" s="67"/>
      <c r="DL47" s="66"/>
      <c r="DM47" s="67"/>
      <c r="DN47" s="22"/>
      <c r="DO47" s="27"/>
      <c r="DQ47" s="26"/>
      <c r="DR47" s="22"/>
      <c r="DS47" s="66"/>
      <c r="DT47" s="67"/>
      <c r="DU47" s="66"/>
      <c r="DV47" s="67"/>
      <c r="DW47" s="66"/>
      <c r="DX47" s="67"/>
      <c r="DY47" s="66"/>
      <c r="DZ47" s="67"/>
      <c r="EA47" s="66"/>
      <c r="EB47" s="67"/>
      <c r="EC47" s="66"/>
      <c r="ED47" s="67"/>
      <c r="EE47" s="22"/>
      <c r="EF47" s="44"/>
      <c r="EG47" s="35"/>
    </row>
    <row r="48" spans="1:137" ht="18" customHeight="1" x14ac:dyDescent="0.3">
      <c r="A48" s="18"/>
      <c r="B48" s="26"/>
      <c r="C48" s="22"/>
      <c r="D48" s="68"/>
      <c r="E48" s="69"/>
      <c r="F48" s="68"/>
      <c r="G48" s="69"/>
      <c r="H48" s="68"/>
      <c r="I48" s="69"/>
      <c r="J48" s="68"/>
      <c r="K48" s="69"/>
      <c r="L48" s="68"/>
      <c r="M48" s="69"/>
      <c r="N48" s="68"/>
      <c r="O48" s="69"/>
      <c r="P48" s="22"/>
      <c r="Q48" s="27"/>
      <c r="R48" s="20"/>
      <c r="S48" s="26"/>
      <c r="T48" s="22"/>
      <c r="U48" s="68"/>
      <c r="V48" s="69"/>
      <c r="W48" s="68"/>
      <c r="X48" s="69"/>
      <c r="Y48" s="68"/>
      <c r="Z48" s="69"/>
      <c r="AA48" s="68"/>
      <c r="AB48" s="69"/>
      <c r="AC48" s="68"/>
      <c r="AD48" s="69"/>
      <c r="AE48" s="68"/>
      <c r="AF48" s="69"/>
      <c r="AG48" s="22"/>
      <c r="AH48" s="27"/>
      <c r="AJ48" s="26"/>
      <c r="AK48" s="22"/>
      <c r="AL48" s="68"/>
      <c r="AM48" s="69"/>
      <c r="AN48" s="68"/>
      <c r="AO48" s="69"/>
      <c r="AP48" s="68"/>
      <c r="AQ48" s="69"/>
      <c r="AR48" s="68"/>
      <c r="AS48" s="69"/>
      <c r="AT48" s="68"/>
      <c r="AU48" s="69"/>
      <c r="AV48" s="68"/>
      <c r="AW48" s="69"/>
      <c r="AX48" s="22"/>
      <c r="AY48" s="27"/>
      <c r="BA48" s="26"/>
      <c r="BB48" s="22"/>
      <c r="BC48" s="68"/>
      <c r="BD48" s="69"/>
      <c r="BE48" s="68"/>
      <c r="BF48" s="69"/>
      <c r="BG48" s="68"/>
      <c r="BH48" s="69"/>
      <c r="BI48" s="68"/>
      <c r="BJ48" s="69"/>
      <c r="BK48" s="68"/>
      <c r="BL48" s="69"/>
      <c r="BM48" s="68"/>
      <c r="BN48" s="69"/>
      <c r="BO48" s="22"/>
      <c r="BP48" s="27"/>
      <c r="BR48" s="26"/>
      <c r="BS48" s="22"/>
      <c r="BT48" s="68"/>
      <c r="BU48" s="69"/>
      <c r="BV48" s="68"/>
      <c r="BW48" s="69"/>
      <c r="BX48" s="68"/>
      <c r="BY48" s="69"/>
      <c r="BZ48" s="68"/>
      <c r="CA48" s="69"/>
      <c r="CB48" s="68"/>
      <c r="CC48" s="69"/>
      <c r="CD48" s="68"/>
      <c r="CE48" s="69"/>
      <c r="CF48" s="22"/>
      <c r="CG48" s="27"/>
      <c r="CI48" s="26"/>
      <c r="CJ48" s="22"/>
      <c r="CK48" s="68"/>
      <c r="CL48" s="69"/>
      <c r="CM48" s="68"/>
      <c r="CN48" s="69"/>
      <c r="CO48" s="68"/>
      <c r="CP48" s="69"/>
      <c r="CQ48" s="68"/>
      <c r="CR48" s="69"/>
      <c r="CS48" s="68"/>
      <c r="CT48" s="69"/>
      <c r="CU48" s="68"/>
      <c r="CV48" s="69"/>
      <c r="CW48" s="22"/>
      <c r="CX48" s="27"/>
      <c r="CZ48" s="26"/>
      <c r="DA48" s="22"/>
      <c r="DB48" s="68"/>
      <c r="DC48" s="69"/>
      <c r="DD48" s="68"/>
      <c r="DE48" s="69"/>
      <c r="DF48" s="68"/>
      <c r="DG48" s="69"/>
      <c r="DH48" s="68"/>
      <c r="DI48" s="69"/>
      <c r="DJ48" s="68"/>
      <c r="DK48" s="69"/>
      <c r="DL48" s="68"/>
      <c r="DM48" s="69"/>
      <c r="DN48" s="22"/>
      <c r="DO48" s="27"/>
      <c r="DQ48" s="26"/>
      <c r="DR48" s="22"/>
      <c r="DS48" s="68"/>
      <c r="DT48" s="69"/>
      <c r="DU48" s="68"/>
      <c r="DV48" s="69"/>
      <c r="DW48" s="68"/>
      <c r="DX48" s="69"/>
      <c r="DY48" s="68"/>
      <c r="DZ48" s="69"/>
      <c r="EA48" s="68"/>
      <c r="EB48" s="69"/>
      <c r="EC48" s="68"/>
      <c r="ED48" s="69"/>
      <c r="EE48" s="22"/>
      <c r="EF48" s="44"/>
      <c r="EG48" s="35"/>
    </row>
    <row r="49" spans="1:137" ht="18" customHeight="1" x14ac:dyDescent="0.3">
      <c r="A49" s="18"/>
      <c r="B49" s="26"/>
      <c r="C49" s="66"/>
      <c r="D49" s="67"/>
      <c r="E49" s="66"/>
      <c r="F49" s="67"/>
      <c r="G49" s="66"/>
      <c r="H49" s="67"/>
      <c r="I49" s="71">
        <v>4</v>
      </c>
      <c r="J49" s="67"/>
      <c r="K49" s="71">
        <v>4</v>
      </c>
      <c r="L49" s="67"/>
      <c r="M49" s="66"/>
      <c r="N49" s="67"/>
      <c r="O49" s="66"/>
      <c r="P49" s="67"/>
      <c r="Q49" s="27"/>
      <c r="R49" s="20"/>
      <c r="S49" s="26"/>
      <c r="T49" s="66"/>
      <c r="U49" s="67"/>
      <c r="V49" s="66"/>
      <c r="W49" s="67"/>
      <c r="X49" s="71">
        <v>4</v>
      </c>
      <c r="Y49" s="67"/>
      <c r="Z49" s="71">
        <v>4</v>
      </c>
      <c r="AA49" s="67"/>
      <c r="AB49" s="66"/>
      <c r="AC49" s="67"/>
      <c r="AD49" s="66"/>
      <c r="AE49" s="67"/>
      <c r="AF49" s="66"/>
      <c r="AG49" s="67"/>
      <c r="AH49" s="27"/>
      <c r="AJ49" s="26"/>
      <c r="AK49" s="66"/>
      <c r="AL49" s="67"/>
      <c r="AM49" s="66"/>
      <c r="AN49" s="67"/>
      <c r="AO49" s="66"/>
      <c r="AP49" s="67"/>
      <c r="AQ49" s="71">
        <v>4</v>
      </c>
      <c r="AR49" s="67"/>
      <c r="AS49" s="66"/>
      <c r="AT49" s="67"/>
      <c r="AU49" s="66"/>
      <c r="AV49" s="67"/>
      <c r="AW49" s="66"/>
      <c r="AX49" s="67"/>
      <c r="AY49" s="27"/>
      <c r="BA49" s="26"/>
      <c r="BB49" s="66"/>
      <c r="BC49" s="67"/>
      <c r="BD49" s="66"/>
      <c r="BE49" s="67"/>
      <c r="BF49" s="73">
        <v>3</v>
      </c>
      <c r="BG49" s="67"/>
      <c r="BH49" s="66"/>
      <c r="BI49" s="67"/>
      <c r="BJ49" s="66"/>
      <c r="BK49" s="67"/>
      <c r="BL49" s="66"/>
      <c r="BM49" s="67"/>
      <c r="BN49" s="66"/>
      <c r="BO49" s="67"/>
      <c r="BP49" s="27"/>
      <c r="BR49" s="26"/>
      <c r="BS49" s="66"/>
      <c r="BT49" s="67"/>
      <c r="BU49" s="66"/>
      <c r="BV49" s="67"/>
      <c r="BW49" s="66"/>
      <c r="BX49" s="67"/>
      <c r="BY49" s="66"/>
      <c r="BZ49" s="67"/>
      <c r="CA49" s="73">
        <v>3</v>
      </c>
      <c r="CB49" s="67"/>
      <c r="CC49" s="66"/>
      <c r="CD49" s="67"/>
      <c r="CE49" s="66"/>
      <c r="CF49" s="67"/>
      <c r="CG49" s="27"/>
      <c r="CI49" s="26"/>
      <c r="CJ49" s="66"/>
      <c r="CK49" s="67"/>
      <c r="CL49" s="66"/>
      <c r="CM49" s="67"/>
      <c r="CN49" s="73">
        <v>3</v>
      </c>
      <c r="CO49" s="67"/>
      <c r="CP49" s="66"/>
      <c r="CQ49" s="67"/>
      <c r="CR49" s="66"/>
      <c r="CS49" s="67"/>
      <c r="CT49" s="66"/>
      <c r="CU49" s="67"/>
      <c r="CV49" s="66"/>
      <c r="CW49" s="67"/>
      <c r="CX49" s="27"/>
      <c r="CZ49" s="26"/>
      <c r="DA49" s="66"/>
      <c r="DB49" s="67"/>
      <c r="DC49" s="66"/>
      <c r="DD49" s="67"/>
      <c r="DE49" s="66"/>
      <c r="DF49" s="67"/>
      <c r="DG49" s="66"/>
      <c r="DH49" s="67"/>
      <c r="DI49" s="73">
        <v>3</v>
      </c>
      <c r="DJ49" s="67"/>
      <c r="DK49" s="66"/>
      <c r="DL49" s="67"/>
      <c r="DM49" s="66"/>
      <c r="DN49" s="67"/>
      <c r="DO49" s="27"/>
      <c r="DQ49" s="26"/>
      <c r="DR49" s="66"/>
      <c r="DS49" s="67"/>
      <c r="DT49" s="66"/>
      <c r="DU49" s="67"/>
      <c r="DV49" s="73">
        <v>3</v>
      </c>
      <c r="DW49" s="67"/>
      <c r="DX49" s="66"/>
      <c r="DY49" s="67"/>
      <c r="DZ49" s="73">
        <v>3</v>
      </c>
      <c r="EA49" s="67"/>
      <c r="EB49" s="66"/>
      <c r="EC49" s="67"/>
      <c r="ED49" s="66"/>
      <c r="EE49" s="67"/>
      <c r="EF49" s="44"/>
      <c r="EG49" s="35"/>
    </row>
    <row r="50" spans="1:137" ht="18" customHeight="1" x14ac:dyDescent="0.3">
      <c r="A50" s="18"/>
      <c r="B50" s="26"/>
      <c r="C50" s="68"/>
      <c r="D50" s="69"/>
      <c r="E50" s="68"/>
      <c r="F50" s="69"/>
      <c r="G50" s="68"/>
      <c r="H50" s="69"/>
      <c r="I50" s="68"/>
      <c r="J50" s="69"/>
      <c r="K50" s="68"/>
      <c r="L50" s="69"/>
      <c r="M50" s="68"/>
      <c r="N50" s="69"/>
      <c r="O50" s="68"/>
      <c r="P50" s="69"/>
      <c r="Q50" s="27"/>
      <c r="R50" s="20"/>
      <c r="S50" s="26"/>
      <c r="T50" s="68"/>
      <c r="U50" s="69"/>
      <c r="V50" s="68"/>
      <c r="W50" s="69"/>
      <c r="X50" s="68"/>
      <c r="Y50" s="69"/>
      <c r="Z50" s="68"/>
      <c r="AA50" s="69"/>
      <c r="AB50" s="68"/>
      <c r="AC50" s="69"/>
      <c r="AD50" s="68"/>
      <c r="AE50" s="69"/>
      <c r="AF50" s="68"/>
      <c r="AG50" s="69"/>
      <c r="AH50" s="27"/>
      <c r="AJ50" s="26"/>
      <c r="AK50" s="68"/>
      <c r="AL50" s="69"/>
      <c r="AM50" s="68"/>
      <c r="AN50" s="69"/>
      <c r="AO50" s="68"/>
      <c r="AP50" s="69"/>
      <c r="AQ50" s="68"/>
      <c r="AR50" s="69"/>
      <c r="AS50" s="68"/>
      <c r="AT50" s="69"/>
      <c r="AU50" s="68"/>
      <c r="AV50" s="69"/>
      <c r="AW50" s="68"/>
      <c r="AX50" s="69"/>
      <c r="AY50" s="27"/>
      <c r="BA50" s="26"/>
      <c r="BB50" s="68"/>
      <c r="BC50" s="69"/>
      <c r="BD50" s="68"/>
      <c r="BE50" s="69"/>
      <c r="BF50" s="68"/>
      <c r="BG50" s="69"/>
      <c r="BH50" s="68"/>
      <c r="BI50" s="69"/>
      <c r="BJ50" s="68"/>
      <c r="BK50" s="69"/>
      <c r="BL50" s="68"/>
      <c r="BM50" s="69"/>
      <c r="BN50" s="68"/>
      <c r="BO50" s="69"/>
      <c r="BP50" s="27"/>
      <c r="BR50" s="26"/>
      <c r="BS50" s="68"/>
      <c r="BT50" s="69"/>
      <c r="BU50" s="68"/>
      <c r="BV50" s="69"/>
      <c r="BW50" s="68"/>
      <c r="BX50" s="69"/>
      <c r="BY50" s="68"/>
      <c r="BZ50" s="69"/>
      <c r="CA50" s="68"/>
      <c r="CB50" s="69"/>
      <c r="CC50" s="68"/>
      <c r="CD50" s="69"/>
      <c r="CE50" s="68"/>
      <c r="CF50" s="69"/>
      <c r="CG50" s="27"/>
      <c r="CI50" s="26"/>
      <c r="CJ50" s="68"/>
      <c r="CK50" s="69"/>
      <c r="CL50" s="68"/>
      <c r="CM50" s="69"/>
      <c r="CN50" s="68"/>
      <c r="CO50" s="69"/>
      <c r="CP50" s="68"/>
      <c r="CQ50" s="69"/>
      <c r="CR50" s="68"/>
      <c r="CS50" s="69"/>
      <c r="CT50" s="68"/>
      <c r="CU50" s="69"/>
      <c r="CV50" s="68"/>
      <c r="CW50" s="69"/>
      <c r="CX50" s="27"/>
      <c r="CZ50" s="26"/>
      <c r="DA50" s="68"/>
      <c r="DB50" s="69"/>
      <c r="DC50" s="68"/>
      <c r="DD50" s="69"/>
      <c r="DE50" s="68"/>
      <c r="DF50" s="69"/>
      <c r="DG50" s="68"/>
      <c r="DH50" s="69"/>
      <c r="DI50" s="68"/>
      <c r="DJ50" s="69"/>
      <c r="DK50" s="68"/>
      <c r="DL50" s="69"/>
      <c r="DM50" s="68"/>
      <c r="DN50" s="69"/>
      <c r="DO50" s="27"/>
      <c r="DQ50" s="26"/>
      <c r="DR50" s="68"/>
      <c r="DS50" s="69"/>
      <c r="DT50" s="68"/>
      <c r="DU50" s="69"/>
      <c r="DV50" s="68"/>
      <c r="DW50" s="69"/>
      <c r="DX50" s="68"/>
      <c r="DY50" s="69"/>
      <c r="DZ50" s="68"/>
      <c r="EA50" s="69"/>
      <c r="EB50" s="68"/>
      <c r="EC50" s="69"/>
      <c r="ED50" s="68"/>
      <c r="EE50" s="69"/>
      <c r="EF50" s="44"/>
      <c r="EG50" s="35"/>
    </row>
    <row r="51" spans="1:137" ht="18" customHeight="1" x14ac:dyDescent="0.3">
      <c r="A51" s="18"/>
      <c r="B51" s="26"/>
      <c r="C51" s="22"/>
      <c r="D51" s="66"/>
      <c r="E51" s="67"/>
      <c r="F51" s="66"/>
      <c r="G51" s="67"/>
      <c r="H51" s="66"/>
      <c r="I51" s="67"/>
      <c r="J51" s="71">
        <v>4</v>
      </c>
      <c r="K51" s="67"/>
      <c r="L51" s="66"/>
      <c r="M51" s="67"/>
      <c r="N51" s="66"/>
      <c r="O51" s="67"/>
      <c r="P51" s="22"/>
      <c r="Q51" s="27"/>
      <c r="R51" s="20"/>
      <c r="S51" s="26"/>
      <c r="T51" s="22"/>
      <c r="U51" s="66"/>
      <c r="V51" s="67"/>
      <c r="W51" s="66"/>
      <c r="X51" s="67"/>
      <c r="Y51" s="66"/>
      <c r="Z51" s="67"/>
      <c r="AA51" s="71">
        <v>4</v>
      </c>
      <c r="AB51" s="67"/>
      <c r="AC51" s="66"/>
      <c r="AD51" s="67"/>
      <c r="AE51" s="66"/>
      <c r="AF51" s="67"/>
      <c r="AG51" s="22"/>
      <c r="AH51" s="27"/>
      <c r="AJ51" s="26"/>
      <c r="AK51" s="22"/>
      <c r="AL51" s="66"/>
      <c r="AM51" s="67"/>
      <c r="AN51" s="66"/>
      <c r="AO51" s="67"/>
      <c r="AP51" s="66"/>
      <c r="AQ51" s="67"/>
      <c r="AR51" s="71">
        <v>4</v>
      </c>
      <c r="AS51" s="67"/>
      <c r="AT51" s="66"/>
      <c r="AU51" s="67"/>
      <c r="AV51" s="66"/>
      <c r="AW51" s="67"/>
      <c r="AX51" s="22"/>
      <c r="AY51" s="27"/>
      <c r="BA51" s="26"/>
      <c r="BB51" s="22"/>
      <c r="BC51" s="66"/>
      <c r="BD51" s="67"/>
      <c r="BE51" s="66"/>
      <c r="BF51" s="67"/>
      <c r="BG51" s="73">
        <v>3</v>
      </c>
      <c r="BH51" s="67"/>
      <c r="BI51" s="73">
        <v>3</v>
      </c>
      <c r="BJ51" s="67"/>
      <c r="BK51" s="66"/>
      <c r="BL51" s="67"/>
      <c r="BM51" s="66"/>
      <c r="BN51" s="67"/>
      <c r="BO51" s="22"/>
      <c r="BP51" s="27"/>
      <c r="BR51" s="26"/>
      <c r="BS51" s="22"/>
      <c r="BT51" s="66"/>
      <c r="BU51" s="67"/>
      <c r="BV51" s="66"/>
      <c r="BW51" s="67"/>
      <c r="BX51" s="73">
        <v>3</v>
      </c>
      <c r="BY51" s="67"/>
      <c r="BZ51" s="73">
        <v>3</v>
      </c>
      <c r="CA51" s="67"/>
      <c r="CB51" s="66"/>
      <c r="CC51" s="67"/>
      <c r="CD51" s="66"/>
      <c r="CE51" s="67"/>
      <c r="CF51" s="22"/>
      <c r="CG51" s="27"/>
      <c r="CI51" s="26"/>
      <c r="CJ51" s="22"/>
      <c r="CK51" s="66"/>
      <c r="CL51" s="67"/>
      <c r="CM51" s="66"/>
      <c r="CN51" s="67"/>
      <c r="CO51" s="73">
        <v>3</v>
      </c>
      <c r="CP51" s="67"/>
      <c r="CQ51" s="66"/>
      <c r="CR51" s="67"/>
      <c r="CS51" s="66"/>
      <c r="CT51" s="67"/>
      <c r="CU51" s="66"/>
      <c r="CV51" s="67"/>
      <c r="CW51" s="22"/>
      <c r="CX51" s="27"/>
      <c r="CZ51" s="26"/>
      <c r="DA51" s="22"/>
      <c r="DB51" s="66"/>
      <c r="DC51" s="67"/>
      <c r="DD51" s="66"/>
      <c r="DE51" s="67"/>
      <c r="DF51" s="66"/>
      <c r="DG51" s="67"/>
      <c r="DH51" s="73">
        <v>3</v>
      </c>
      <c r="DI51" s="67"/>
      <c r="DJ51" s="66"/>
      <c r="DK51" s="67"/>
      <c r="DL51" s="66"/>
      <c r="DM51" s="67"/>
      <c r="DN51" s="22"/>
      <c r="DO51" s="27"/>
      <c r="DQ51" s="26"/>
      <c r="DR51" s="22"/>
      <c r="DS51" s="66"/>
      <c r="DT51" s="67"/>
      <c r="DU51" s="66"/>
      <c r="DV51" s="67"/>
      <c r="DW51" s="73">
        <v>3</v>
      </c>
      <c r="DX51" s="67"/>
      <c r="DY51" s="73">
        <v>3</v>
      </c>
      <c r="DZ51" s="67"/>
      <c r="EA51" s="66"/>
      <c r="EB51" s="67"/>
      <c r="EC51" s="66"/>
      <c r="ED51" s="67"/>
      <c r="EE51" s="22"/>
      <c r="EF51" s="44"/>
      <c r="EG51" s="35"/>
    </row>
    <row r="52" spans="1:137" ht="18" customHeight="1" x14ac:dyDescent="0.3">
      <c r="A52" s="18"/>
      <c r="B52" s="26"/>
      <c r="C52" s="22"/>
      <c r="D52" s="68"/>
      <c r="E52" s="69"/>
      <c r="F52" s="68"/>
      <c r="G52" s="69"/>
      <c r="H52" s="68"/>
      <c r="I52" s="69"/>
      <c r="J52" s="68"/>
      <c r="K52" s="69"/>
      <c r="L52" s="68"/>
      <c r="M52" s="69"/>
      <c r="N52" s="68"/>
      <c r="O52" s="69"/>
      <c r="P52" s="22"/>
      <c r="Q52" s="27"/>
      <c r="R52" s="20"/>
      <c r="S52" s="26"/>
      <c r="T52" s="22"/>
      <c r="U52" s="68"/>
      <c r="V52" s="69"/>
      <c r="W52" s="68"/>
      <c r="X52" s="69"/>
      <c r="Y52" s="68"/>
      <c r="Z52" s="69"/>
      <c r="AA52" s="68"/>
      <c r="AB52" s="69"/>
      <c r="AC52" s="68"/>
      <c r="AD52" s="69"/>
      <c r="AE52" s="68"/>
      <c r="AF52" s="69"/>
      <c r="AG52" s="22"/>
      <c r="AH52" s="27"/>
      <c r="AJ52" s="26"/>
      <c r="AK52" s="22"/>
      <c r="AL52" s="68"/>
      <c r="AM52" s="69"/>
      <c r="AN52" s="68"/>
      <c r="AO52" s="69"/>
      <c r="AP52" s="68"/>
      <c r="AQ52" s="69"/>
      <c r="AR52" s="68"/>
      <c r="AS52" s="69"/>
      <c r="AT52" s="68"/>
      <c r="AU52" s="69"/>
      <c r="AV52" s="68"/>
      <c r="AW52" s="69"/>
      <c r="AX52" s="22"/>
      <c r="AY52" s="27"/>
      <c r="BA52" s="26"/>
      <c r="BB52" s="22"/>
      <c r="BC52" s="68"/>
      <c r="BD52" s="69"/>
      <c r="BE52" s="68"/>
      <c r="BF52" s="69"/>
      <c r="BG52" s="68"/>
      <c r="BH52" s="69"/>
      <c r="BI52" s="68"/>
      <c r="BJ52" s="69"/>
      <c r="BK52" s="68"/>
      <c r="BL52" s="69"/>
      <c r="BM52" s="68"/>
      <c r="BN52" s="69"/>
      <c r="BO52" s="22"/>
      <c r="BP52" s="27"/>
      <c r="BR52" s="26"/>
      <c r="BS52" s="22"/>
      <c r="BT52" s="68"/>
      <c r="BU52" s="69"/>
      <c r="BV52" s="68"/>
      <c r="BW52" s="69"/>
      <c r="BX52" s="68"/>
      <c r="BY52" s="69"/>
      <c r="BZ52" s="68"/>
      <c r="CA52" s="69"/>
      <c r="CB52" s="68"/>
      <c r="CC52" s="69"/>
      <c r="CD52" s="68"/>
      <c r="CE52" s="69"/>
      <c r="CF52" s="22"/>
      <c r="CG52" s="27"/>
      <c r="CI52" s="26"/>
      <c r="CJ52" s="22"/>
      <c r="CK52" s="68"/>
      <c r="CL52" s="69"/>
      <c r="CM52" s="68"/>
      <c r="CN52" s="69"/>
      <c r="CO52" s="68"/>
      <c r="CP52" s="69"/>
      <c r="CQ52" s="68"/>
      <c r="CR52" s="69"/>
      <c r="CS52" s="68"/>
      <c r="CT52" s="69"/>
      <c r="CU52" s="68"/>
      <c r="CV52" s="69"/>
      <c r="CW52" s="22"/>
      <c r="CX52" s="27"/>
      <c r="CZ52" s="26"/>
      <c r="DA52" s="22"/>
      <c r="DB52" s="68"/>
      <c r="DC52" s="69"/>
      <c r="DD52" s="68"/>
      <c r="DE52" s="69"/>
      <c r="DF52" s="68"/>
      <c r="DG52" s="69"/>
      <c r="DH52" s="68"/>
      <c r="DI52" s="69"/>
      <c r="DJ52" s="68"/>
      <c r="DK52" s="69"/>
      <c r="DL52" s="68"/>
      <c r="DM52" s="69"/>
      <c r="DN52" s="22"/>
      <c r="DO52" s="27"/>
      <c r="DQ52" s="26"/>
      <c r="DR52" s="22"/>
      <c r="DS52" s="68"/>
      <c r="DT52" s="69"/>
      <c r="DU52" s="68"/>
      <c r="DV52" s="69"/>
      <c r="DW52" s="68"/>
      <c r="DX52" s="69"/>
      <c r="DY52" s="68"/>
      <c r="DZ52" s="69"/>
      <c r="EA52" s="68"/>
      <c r="EB52" s="69"/>
      <c r="EC52" s="68"/>
      <c r="ED52" s="69"/>
      <c r="EE52" s="22"/>
      <c r="EF52" s="44"/>
      <c r="EG52" s="35"/>
    </row>
    <row r="53" spans="1:137" ht="18" customHeight="1" x14ac:dyDescent="0.3">
      <c r="A53" s="18"/>
      <c r="B53" s="26"/>
      <c r="C53" s="22"/>
      <c r="D53" s="22"/>
      <c r="E53" s="66"/>
      <c r="F53" s="67"/>
      <c r="G53" s="66"/>
      <c r="H53" s="67"/>
      <c r="I53" s="66"/>
      <c r="J53" s="67"/>
      <c r="K53" s="66"/>
      <c r="L53" s="67"/>
      <c r="M53" s="66"/>
      <c r="N53" s="67"/>
      <c r="O53" s="22"/>
      <c r="P53" s="22"/>
      <c r="Q53" s="27"/>
      <c r="R53" s="20"/>
      <c r="S53" s="26"/>
      <c r="T53" s="22"/>
      <c r="U53" s="22"/>
      <c r="V53" s="66"/>
      <c r="W53" s="67"/>
      <c r="X53" s="66"/>
      <c r="Y53" s="67"/>
      <c r="Z53" s="66"/>
      <c r="AA53" s="67"/>
      <c r="AB53" s="66"/>
      <c r="AC53" s="67"/>
      <c r="AD53" s="66"/>
      <c r="AE53" s="67"/>
      <c r="AF53" s="22"/>
      <c r="AG53" s="22"/>
      <c r="AH53" s="27"/>
      <c r="AJ53" s="26"/>
      <c r="AK53" s="22"/>
      <c r="AL53" s="22"/>
      <c r="AM53" s="66"/>
      <c r="AN53" s="67"/>
      <c r="AO53" s="66"/>
      <c r="AP53" s="67"/>
      <c r="AQ53" s="66"/>
      <c r="AR53" s="67"/>
      <c r="AS53" s="66"/>
      <c r="AT53" s="67"/>
      <c r="AU53" s="66"/>
      <c r="AV53" s="67"/>
      <c r="AW53" s="22"/>
      <c r="AX53" s="22"/>
      <c r="AY53" s="27"/>
      <c r="BA53" s="26"/>
      <c r="BB53" s="22"/>
      <c r="BC53" s="22"/>
      <c r="BD53" s="66"/>
      <c r="BE53" s="67"/>
      <c r="BF53" s="66"/>
      <c r="BG53" s="67"/>
      <c r="BH53" s="66"/>
      <c r="BI53" s="67"/>
      <c r="BJ53" s="66"/>
      <c r="BK53" s="67"/>
      <c r="BL53" s="66"/>
      <c r="BM53" s="67"/>
      <c r="BN53" s="22"/>
      <c r="BO53" s="22"/>
      <c r="BP53" s="27"/>
      <c r="BR53" s="26"/>
      <c r="BS53" s="22"/>
      <c r="BT53" s="22"/>
      <c r="BU53" s="66"/>
      <c r="BV53" s="67"/>
      <c r="BW53" s="66"/>
      <c r="BX53" s="67"/>
      <c r="BY53" s="66"/>
      <c r="BZ53" s="67"/>
      <c r="CA53" s="66"/>
      <c r="CB53" s="67"/>
      <c r="CC53" s="66"/>
      <c r="CD53" s="67"/>
      <c r="CE53" s="22"/>
      <c r="CF53" s="22"/>
      <c r="CG53" s="27"/>
      <c r="CI53" s="26"/>
      <c r="CJ53" s="22"/>
      <c r="CK53" s="22"/>
      <c r="CL53" s="66"/>
      <c r="CM53" s="67"/>
      <c r="CN53" s="66"/>
      <c r="CO53" s="67"/>
      <c r="CP53" s="66"/>
      <c r="CQ53" s="67"/>
      <c r="CR53" s="66"/>
      <c r="CS53" s="67"/>
      <c r="CT53" s="66"/>
      <c r="CU53" s="67"/>
      <c r="CV53" s="22"/>
      <c r="CW53" s="22"/>
      <c r="CX53" s="27"/>
      <c r="CZ53" s="26"/>
      <c r="DA53" s="22"/>
      <c r="DB53" s="22"/>
      <c r="DC53" s="66"/>
      <c r="DD53" s="67"/>
      <c r="DE53" s="66"/>
      <c r="DF53" s="67"/>
      <c r="DG53" s="66"/>
      <c r="DH53" s="67"/>
      <c r="DI53" s="66"/>
      <c r="DJ53" s="67"/>
      <c r="DK53" s="66"/>
      <c r="DL53" s="67"/>
      <c r="DM53" s="22"/>
      <c r="DN53" s="22"/>
      <c r="DO53" s="27"/>
      <c r="DQ53" s="26"/>
      <c r="DR53" s="22"/>
      <c r="DS53" s="22"/>
      <c r="DT53" s="66"/>
      <c r="DU53" s="67"/>
      <c r="DV53" s="66"/>
      <c r="DW53" s="67"/>
      <c r="DX53" s="66"/>
      <c r="DY53" s="67"/>
      <c r="DZ53" s="66"/>
      <c r="EA53" s="67"/>
      <c r="EB53" s="66"/>
      <c r="EC53" s="67"/>
      <c r="ED53" s="22"/>
      <c r="EE53" s="22"/>
      <c r="EF53" s="44"/>
      <c r="EG53" s="35"/>
    </row>
    <row r="54" spans="1:137" ht="18" customHeight="1" x14ac:dyDescent="0.3">
      <c r="A54" s="18"/>
      <c r="B54" s="26"/>
      <c r="C54" s="22"/>
      <c r="D54" s="22"/>
      <c r="E54" s="68"/>
      <c r="F54" s="69"/>
      <c r="G54" s="68"/>
      <c r="H54" s="69"/>
      <c r="I54" s="68"/>
      <c r="J54" s="69"/>
      <c r="K54" s="68"/>
      <c r="L54" s="69"/>
      <c r="M54" s="68"/>
      <c r="N54" s="69"/>
      <c r="O54" s="22"/>
      <c r="P54" s="22"/>
      <c r="Q54" s="27"/>
      <c r="R54" s="20"/>
      <c r="S54" s="26"/>
      <c r="T54" s="22"/>
      <c r="U54" s="22"/>
      <c r="V54" s="68"/>
      <c r="W54" s="69"/>
      <c r="X54" s="68"/>
      <c r="Y54" s="69"/>
      <c r="Z54" s="68"/>
      <c r="AA54" s="69"/>
      <c r="AB54" s="68"/>
      <c r="AC54" s="69"/>
      <c r="AD54" s="68"/>
      <c r="AE54" s="69"/>
      <c r="AF54" s="22"/>
      <c r="AG54" s="22"/>
      <c r="AH54" s="27"/>
      <c r="AJ54" s="26"/>
      <c r="AK54" s="22"/>
      <c r="AL54" s="22"/>
      <c r="AM54" s="68"/>
      <c r="AN54" s="69"/>
      <c r="AO54" s="68"/>
      <c r="AP54" s="69"/>
      <c r="AQ54" s="68"/>
      <c r="AR54" s="69"/>
      <c r="AS54" s="68"/>
      <c r="AT54" s="69"/>
      <c r="AU54" s="68"/>
      <c r="AV54" s="69"/>
      <c r="AW54" s="22"/>
      <c r="AX54" s="22"/>
      <c r="AY54" s="27"/>
      <c r="BA54" s="26"/>
      <c r="BB54" s="22"/>
      <c r="BC54" s="22"/>
      <c r="BD54" s="68"/>
      <c r="BE54" s="69"/>
      <c r="BF54" s="68"/>
      <c r="BG54" s="69"/>
      <c r="BH54" s="68"/>
      <c r="BI54" s="69"/>
      <c r="BJ54" s="68"/>
      <c r="BK54" s="69"/>
      <c r="BL54" s="68"/>
      <c r="BM54" s="69"/>
      <c r="BN54" s="22"/>
      <c r="BO54" s="22"/>
      <c r="BP54" s="27"/>
      <c r="BR54" s="26"/>
      <c r="BS54" s="22"/>
      <c r="BT54" s="22"/>
      <c r="BU54" s="68"/>
      <c r="BV54" s="69"/>
      <c r="BW54" s="68"/>
      <c r="BX54" s="69"/>
      <c r="BY54" s="68"/>
      <c r="BZ54" s="69"/>
      <c r="CA54" s="68"/>
      <c r="CB54" s="69"/>
      <c r="CC54" s="68"/>
      <c r="CD54" s="69"/>
      <c r="CE54" s="22"/>
      <c r="CF54" s="22"/>
      <c r="CG54" s="27"/>
      <c r="CI54" s="26"/>
      <c r="CJ54" s="22"/>
      <c r="CK54" s="22"/>
      <c r="CL54" s="68"/>
      <c r="CM54" s="69"/>
      <c r="CN54" s="68"/>
      <c r="CO54" s="69"/>
      <c r="CP54" s="68"/>
      <c r="CQ54" s="69"/>
      <c r="CR54" s="68"/>
      <c r="CS54" s="69"/>
      <c r="CT54" s="68"/>
      <c r="CU54" s="69"/>
      <c r="CV54" s="22"/>
      <c r="CW54" s="22"/>
      <c r="CX54" s="27"/>
      <c r="CZ54" s="26"/>
      <c r="DA54" s="22"/>
      <c r="DB54" s="22"/>
      <c r="DC54" s="68"/>
      <c r="DD54" s="69"/>
      <c r="DE54" s="68"/>
      <c r="DF54" s="69"/>
      <c r="DG54" s="68"/>
      <c r="DH54" s="69"/>
      <c r="DI54" s="68"/>
      <c r="DJ54" s="69"/>
      <c r="DK54" s="68"/>
      <c r="DL54" s="69"/>
      <c r="DM54" s="22"/>
      <c r="DN54" s="22"/>
      <c r="DO54" s="27"/>
      <c r="DQ54" s="26"/>
      <c r="DR54" s="22"/>
      <c r="DS54" s="22"/>
      <c r="DT54" s="68"/>
      <c r="DU54" s="69"/>
      <c r="DV54" s="68"/>
      <c r="DW54" s="69"/>
      <c r="DX54" s="68"/>
      <c r="DY54" s="69"/>
      <c r="DZ54" s="68"/>
      <c r="EA54" s="69"/>
      <c r="EB54" s="68"/>
      <c r="EC54" s="69"/>
      <c r="ED54" s="22"/>
      <c r="EE54" s="22"/>
      <c r="EF54" s="44"/>
      <c r="EG54" s="35"/>
    </row>
    <row r="55" spans="1:137" ht="18" customHeight="1" x14ac:dyDescent="0.3">
      <c r="A55" s="18"/>
      <c r="B55" s="26"/>
      <c r="C55" s="21"/>
      <c r="D55" s="22"/>
      <c r="E55" s="22"/>
      <c r="F55" s="66"/>
      <c r="G55" s="67"/>
      <c r="H55" s="66"/>
      <c r="I55" s="67"/>
      <c r="J55" s="66"/>
      <c r="K55" s="67"/>
      <c r="L55" s="66"/>
      <c r="M55" s="67"/>
      <c r="N55" s="22"/>
      <c r="O55" s="22"/>
      <c r="P55" s="21"/>
      <c r="Q55" s="27"/>
      <c r="R55" s="20"/>
      <c r="S55" s="26"/>
      <c r="T55" s="21"/>
      <c r="U55" s="22"/>
      <c r="V55" s="22"/>
      <c r="W55" s="66"/>
      <c r="X55" s="67"/>
      <c r="Y55" s="66"/>
      <c r="Z55" s="67"/>
      <c r="AA55" s="66"/>
      <c r="AB55" s="67"/>
      <c r="AC55" s="66"/>
      <c r="AD55" s="67"/>
      <c r="AE55" s="22"/>
      <c r="AF55" s="22"/>
      <c r="AG55" s="21"/>
      <c r="AH55" s="27"/>
      <c r="AJ55" s="26"/>
      <c r="AK55" s="21"/>
      <c r="AL55" s="22"/>
      <c r="AM55" s="22"/>
      <c r="AN55" s="66"/>
      <c r="AO55" s="67"/>
      <c r="AP55" s="66"/>
      <c r="AQ55" s="67"/>
      <c r="AR55" s="66"/>
      <c r="AS55" s="67"/>
      <c r="AT55" s="66"/>
      <c r="AU55" s="67"/>
      <c r="AV55" s="22"/>
      <c r="AW55" s="22"/>
      <c r="AX55" s="21"/>
      <c r="AY55" s="27"/>
      <c r="BA55" s="26"/>
      <c r="BB55" s="21"/>
      <c r="BC55" s="22"/>
      <c r="BD55" s="22"/>
      <c r="BE55" s="66"/>
      <c r="BF55" s="67"/>
      <c r="BG55" s="66"/>
      <c r="BH55" s="67"/>
      <c r="BI55" s="66"/>
      <c r="BJ55" s="67"/>
      <c r="BK55" s="66"/>
      <c r="BL55" s="67"/>
      <c r="BM55" s="22"/>
      <c r="BN55" s="22"/>
      <c r="BO55" s="21"/>
      <c r="BP55" s="27"/>
      <c r="BR55" s="26"/>
      <c r="BS55" s="21"/>
      <c r="BT55" s="22"/>
      <c r="BU55" s="22"/>
      <c r="BV55" s="66"/>
      <c r="BW55" s="67"/>
      <c r="BX55" s="66"/>
      <c r="BY55" s="67"/>
      <c r="BZ55" s="66"/>
      <c r="CA55" s="67"/>
      <c r="CB55" s="66"/>
      <c r="CC55" s="67"/>
      <c r="CD55" s="22"/>
      <c r="CE55" s="22"/>
      <c r="CF55" s="21"/>
      <c r="CG55" s="27"/>
      <c r="CI55" s="26"/>
      <c r="CJ55" s="21"/>
      <c r="CK55" s="22"/>
      <c r="CL55" s="22"/>
      <c r="CM55" s="66"/>
      <c r="CN55" s="67"/>
      <c r="CO55" s="66"/>
      <c r="CP55" s="67"/>
      <c r="CQ55" s="66"/>
      <c r="CR55" s="67"/>
      <c r="CS55" s="66"/>
      <c r="CT55" s="67"/>
      <c r="CU55" s="22"/>
      <c r="CV55" s="22"/>
      <c r="CW55" s="21"/>
      <c r="CX55" s="27"/>
      <c r="CZ55" s="26"/>
      <c r="DA55" s="21"/>
      <c r="DB55" s="22"/>
      <c r="DC55" s="22"/>
      <c r="DD55" s="66"/>
      <c r="DE55" s="67"/>
      <c r="DF55" s="66"/>
      <c r="DG55" s="67"/>
      <c r="DH55" s="66"/>
      <c r="DI55" s="67"/>
      <c r="DJ55" s="66"/>
      <c r="DK55" s="67"/>
      <c r="DL55" s="22"/>
      <c r="DM55" s="22"/>
      <c r="DN55" s="21"/>
      <c r="DO55" s="27"/>
      <c r="DQ55" s="26"/>
      <c r="DR55" s="21"/>
      <c r="DS55" s="22"/>
      <c r="DT55" s="22"/>
      <c r="DU55" s="66"/>
      <c r="DV55" s="67"/>
      <c r="DW55" s="66"/>
      <c r="DX55" s="67"/>
      <c r="DY55" s="66"/>
      <c r="DZ55" s="67"/>
      <c r="EA55" s="66"/>
      <c r="EB55" s="67"/>
      <c r="EC55" s="22"/>
      <c r="ED55" s="22"/>
      <c r="EE55" s="21"/>
      <c r="EF55" s="44"/>
      <c r="EG55" s="35"/>
    </row>
    <row r="56" spans="1:137" ht="18" customHeight="1" x14ac:dyDescent="0.3">
      <c r="A56" s="18"/>
      <c r="B56" s="26"/>
      <c r="C56" s="21"/>
      <c r="D56" s="22"/>
      <c r="E56" s="22"/>
      <c r="F56" s="68"/>
      <c r="G56" s="69"/>
      <c r="H56" s="68"/>
      <c r="I56" s="69"/>
      <c r="J56" s="68"/>
      <c r="K56" s="69"/>
      <c r="L56" s="68"/>
      <c r="M56" s="69"/>
      <c r="N56" s="22"/>
      <c r="O56" s="22"/>
      <c r="P56" s="21"/>
      <c r="Q56" s="27"/>
      <c r="R56" s="20"/>
      <c r="S56" s="26"/>
      <c r="T56" s="21"/>
      <c r="U56" s="22"/>
      <c r="V56" s="22"/>
      <c r="W56" s="68"/>
      <c r="X56" s="69"/>
      <c r="Y56" s="68"/>
      <c r="Z56" s="69"/>
      <c r="AA56" s="68"/>
      <c r="AB56" s="69"/>
      <c r="AC56" s="68"/>
      <c r="AD56" s="69"/>
      <c r="AE56" s="22"/>
      <c r="AF56" s="22"/>
      <c r="AG56" s="21"/>
      <c r="AH56" s="27"/>
      <c r="AJ56" s="26"/>
      <c r="AK56" s="21"/>
      <c r="AL56" s="22"/>
      <c r="AM56" s="22"/>
      <c r="AN56" s="68"/>
      <c r="AO56" s="69"/>
      <c r="AP56" s="68"/>
      <c r="AQ56" s="69"/>
      <c r="AR56" s="68"/>
      <c r="AS56" s="69"/>
      <c r="AT56" s="68"/>
      <c r="AU56" s="69"/>
      <c r="AV56" s="22"/>
      <c r="AW56" s="22"/>
      <c r="AX56" s="21"/>
      <c r="AY56" s="27"/>
      <c r="BA56" s="26"/>
      <c r="BB56" s="21"/>
      <c r="BC56" s="22"/>
      <c r="BD56" s="22"/>
      <c r="BE56" s="68"/>
      <c r="BF56" s="69"/>
      <c r="BG56" s="68"/>
      <c r="BH56" s="69"/>
      <c r="BI56" s="68"/>
      <c r="BJ56" s="69"/>
      <c r="BK56" s="68"/>
      <c r="BL56" s="69"/>
      <c r="BM56" s="22"/>
      <c r="BN56" s="22"/>
      <c r="BO56" s="21"/>
      <c r="BP56" s="27"/>
      <c r="BR56" s="26"/>
      <c r="BS56" s="21"/>
      <c r="BT56" s="22"/>
      <c r="BU56" s="22"/>
      <c r="BV56" s="68"/>
      <c r="BW56" s="69"/>
      <c r="BX56" s="68"/>
      <c r="BY56" s="69"/>
      <c r="BZ56" s="68"/>
      <c r="CA56" s="69"/>
      <c r="CB56" s="68"/>
      <c r="CC56" s="69"/>
      <c r="CD56" s="22"/>
      <c r="CE56" s="22"/>
      <c r="CF56" s="21"/>
      <c r="CG56" s="27"/>
      <c r="CI56" s="26"/>
      <c r="CJ56" s="21"/>
      <c r="CK56" s="22"/>
      <c r="CL56" s="22"/>
      <c r="CM56" s="68"/>
      <c r="CN56" s="69"/>
      <c r="CO56" s="68"/>
      <c r="CP56" s="69"/>
      <c r="CQ56" s="68"/>
      <c r="CR56" s="69"/>
      <c r="CS56" s="68"/>
      <c r="CT56" s="69"/>
      <c r="CU56" s="22"/>
      <c r="CV56" s="22"/>
      <c r="CW56" s="21"/>
      <c r="CX56" s="27"/>
      <c r="CZ56" s="26"/>
      <c r="DA56" s="21"/>
      <c r="DB56" s="22"/>
      <c r="DC56" s="22"/>
      <c r="DD56" s="68"/>
      <c r="DE56" s="69"/>
      <c r="DF56" s="68"/>
      <c r="DG56" s="69"/>
      <c r="DH56" s="68"/>
      <c r="DI56" s="69"/>
      <c r="DJ56" s="68"/>
      <c r="DK56" s="69"/>
      <c r="DL56" s="22"/>
      <c r="DM56" s="22"/>
      <c r="DN56" s="21"/>
      <c r="DO56" s="27"/>
      <c r="DQ56" s="26"/>
      <c r="DR56" s="21"/>
      <c r="DS56" s="22"/>
      <c r="DT56" s="22"/>
      <c r="DU56" s="68"/>
      <c r="DV56" s="69"/>
      <c r="DW56" s="68"/>
      <c r="DX56" s="69"/>
      <c r="DY56" s="68"/>
      <c r="DZ56" s="69"/>
      <c r="EA56" s="68"/>
      <c r="EB56" s="69"/>
      <c r="EC56" s="22"/>
      <c r="ED56" s="22"/>
      <c r="EE56" s="21"/>
      <c r="EF56" s="44"/>
      <c r="EG56" s="35"/>
    </row>
    <row r="57" spans="1:137" ht="18" customHeight="1" x14ac:dyDescent="0.3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8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8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8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8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8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8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8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5"/>
      <c r="EG57" s="35"/>
    </row>
    <row r="58" spans="1:137" ht="18" customHeight="1" x14ac:dyDescent="0.3">
      <c r="A58" s="18"/>
      <c r="B58" s="29"/>
      <c r="C58" s="82" t="str">
        <f>GetHexStr(C43:P56)</f>
        <v>(-1,-2,4,);(0,0,4,);(2,0,4,);(1,2,4,);</v>
      </c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4"/>
      <c r="Q58" s="28"/>
      <c r="S58" s="29"/>
      <c r="T58" s="82" t="str">
        <f>GetHexStr(T43:AG56)</f>
        <v>(-1,-2,4,);(-2,0,4,);(0,0,4,);(1,2,4,);</v>
      </c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4"/>
      <c r="AH58" s="28"/>
      <c r="AJ58" s="29"/>
      <c r="AK58" s="82" t="str">
        <f>GetHexStr(AK43:AX56)</f>
        <v>(-1,-2,4,);(1,-2,4,);(0,0,4,);(1,2,4,);</v>
      </c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28"/>
      <c r="BA58" s="29"/>
      <c r="BB58" s="82" t="str">
        <f>GetHexStr(BB43:BO56)</f>
        <v>(-1,-2,3,);(-2,0,3,);(-1,2,3,);(1,2,3,);</v>
      </c>
      <c r="BC58" s="83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4"/>
      <c r="BP58" s="28"/>
      <c r="BR58" s="29"/>
      <c r="BS58" s="82" t="str">
        <f>GetHexStr(BS43:CF56)</f>
        <v>(1,-2,3,);(2,0,3,);(-1,2,3,);(1,2,3,);</v>
      </c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4"/>
      <c r="CG58" s="28"/>
      <c r="CI58" s="29"/>
      <c r="CJ58" s="82" t="str">
        <f>GetHexStr(CJ43:CW56)</f>
        <v>(-1,-2,3,);(1,-2,3,);(-2,0,3,);(-1,2,3,);</v>
      </c>
      <c r="CK58" s="83"/>
      <c r="CL58" s="83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4"/>
      <c r="CX58" s="28"/>
      <c r="CZ58" s="29"/>
      <c r="DA58" s="82" t="str">
        <f>GetHexStr(DA43:DN56)</f>
        <v>(-1,-2,3,);(1,-2,3,);(2,0,3,);(1,2,3,);</v>
      </c>
      <c r="DB58" s="83"/>
      <c r="DC58" s="83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4"/>
      <c r="DO58" s="28"/>
      <c r="DQ58" s="46"/>
      <c r="DR58" s="88" t="str">
        <f>GetHexStr(DR43:EE56)</f>
        <v>(-2,0,3,);(2,0,3,);(-1,2,3,);(1,2,3,);</v>
      </c>
      <c r="DS58" s="89"/>
      <c r="DT58" s="89"/>
      <c r="DU58" s="89"/>
      <c r="DV58" s="89"/>
      <c r="DW58" s="89"/>
      <c r="DX58" s="89"/>
      <c r="DY58" s="89"/>
      <c r="DZ58" s="89"/>
      <c r="EA58" s="89"/>
      <c r="EB58" s="89"/>
      <c r="EC58" s="89"/>
      <c r="ED58" s="89"/>
      <c r="EE58" s="90"/>
      <c r="EF58" s="45"/>
      <c r="EG58" s="35"/>
    </row>
    <row r="59" spans="1:137" ht="18" customHeight="1" x14ac:dyDescent="0.3">
      <c r="B59" s="29"/>
      <c r="C59" s="85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7"/>
      <c r="Q59" s="28"/>
      <c r="S59" s="29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7"/>
      <c r="AH59" s="28"/>
      <c r="AJ59" s="29"/>
      <c r="AK59" s="85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7"/>
      <c r="AY59" s="28"/>
      <c r="BA59" s="29"/>
      <c r="BB59" s="85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7"/>
      <c r="BP59" s="28"/>
      <c r="BR59" s="29"/>
      <c r="BS59" s="85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7"/>
      <c r="CG59" s="28"/>
      <c r="CI59" s="29"/>
      <c r="CJ59" s="85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7"/>
      <c r="CX59" s="28"/>
      <c r="CZ59" s="29"/>
      <c r="DA59" s="85"/>
      <c r="DB59" s="86"/>
      <c r="DC59" s="86"/>
      <c r="DD59" s="86"/>
      <c r="DE59" s="86"/>
      <c r="DF59" s="86"/>
      <c r="DG59" s="86"/>
      <c r="DH59" s="86"/>
      <c r="DI59" s="86"/>
      <c r="DJ59" s="86"/>
      <c r="DK59" s="86"/>
      <c r="DL59" s="86"/>
      <c r="DM59" s="86"/>
      <c r="DN59" s="87"/>
      <c r="DO59" s="28"/>
      <c r="DQ59" s="46"/>
      <c r="DR59" s="91"/>
      <c r="DS59" s="92"/>
      <c r="DT59" s="92"/>
      <c r="DU59" s="92"/>
      <c r="DV59" s="92"/>
      <c r="DW59" s="92"/>
      <c r="DX59" s="92"/>
      <c r="DY59" s="92"/>
      <c r="DZ59" s="92"/>
      <c r="EA59" s="92"/>
      <c r="EB59" s="92"/>
      <c r="EC59" s="92"/>
      <c r="ED59" s="92"/>
      <c r="EE59" s="93"/>
      <c r="EF59" s="45"/>
      <c r="EG59" s="35"/>
    </row>
    <row r="60" spans="1:137" ht="18" customHeight="1" thickBot="1" x14ac:dyDescent="0.35">
      <c r="B60" s="30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2"/>
      <c r="S60" s="30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2"/>
      <c r="AJ60" s="30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2"/>
      <c r="BA60" s="30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2"/>
      <c r="BR60" s="30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2"/>
      <c r="CI60" s="30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2"/>
      <c r="CZ60" s="30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2"/>
      <c r="DQ60" s="47"/>
      <c r="DR60" s="48"/>
      <c r="DS60" s="48"/>
      <c r="DT60" s="48"/>
      <c r="DU60" s="48"/>
      <c r="DV60" s="48"/>
      <c r="DW60" s="48"/>
      <c r="DX60" s="48"/>
      <c r="DY60" s="48"/>
      <c r="DZ60" s="48"/>
      <c r="EA60" s="48"/>
      <c r="EB60" s="48"/>
      <c r="EC60" s="48"/>
      <c r="ED60" s="48"/>
      <c r="EE60" s="48"/>
      <c r="EF60" s="49"/>
      <c r="EG60" s="35"/>
    </row>
    <row r="61" spans="1:137" ht="18" customHeight="1" thickBot="1" x14ac:dyDescent="0.35"/>
    <row r="62" spans="1:137" s="18" customFormat="1" ht="18" customHeight="1" x14ac:dyDescent="0.3">
      <c r="B62" s="2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5"/>
      <c r="R62" s="19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</row>
    <row r="63" spans="1:137" s="18" customFormat="1" ht="18" customHeight="1" x14ac:dyDescent="0.3">
      <c r="B63" s="26"/>
      <c r="C63" s="21"/>
      <c r="D63" s="22"/>
      <c r="E63" s="22"/>
      <c r="F63" s="66"/>
      <c r="G63" s="67"/>
      <c r="H63" s="66"/>
      <c r="I63" s="67"/>
      <c r="J63" s="66"/>
      <c r="K63" s="67"/>
      <c r="L63" s="66"/>
      <c r="M63" s="67"/>
      <c r="N63" s="22"/>
      <c r="O63" s="22"/>
      <c r="P63" s="21"/>
      <c r="Q63" s="27"/>
      <c r="R63" s="19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</row>
    <row r="64" spans="1:137" s="18" customFormat="1" ht="18" customHeight="1" x14ac:dyDescent="0.3">
      <c r="B64" s="26"/>
      <c r="C64" s="21"/>
      <c r="D64" s="22"/>
      <c r="E64" s="22"/>
      <c r="F64" s="68"/>
      <c r="G64" s="69"/>
      <c r="H64" s="68"/>
      <c r="I64" s="69"/>
      <c r="J64" s="68"/>
      <c r="K64" s="69"/>
      <c r="L64" s="68"/>
      <c r="M64" s="69"/>
      <c r="N64" s="22"/>
      <c r="O64" s="22"/>
      <c r="P64" s="21"/>
      <c r="Q64" s="27"/>
      <c r="R64" s="19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</row>
    <row r="65" spans="2:123" s="18" customFormat="1" ht="18" customHeight="1" x14ac:dyDescent="0.3">
      <c r="B65" s="26"/>
      <c r="C65" s="22"/>
      <c r="D65" s="22"/>
      <c r="E65" s="66"/>
      <c r="F65" s="67"/>
      <c r="G65" s="66"/>
      <c r="H65" s="67"/>
      <c r="I65" s="66"/>
      <c r="J65" s="67"/>
      <c r="K65" s="66"/>
      <c r="L65" s="67"/>
      <c r="M65" s="66"/>
      <c r="N65" s="67"/>
      <c r="O65" s="22"/>
      <c r="P65" s="22"/>
      <c r="Q65" s="27"/>
      <c r="R65" s="19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</row>
    <row r="66" spans="2:123" s="18" customFormat="1" ht="18" customHeight="1" x14ac:dyDescent="0.3">
      <c r="B66" s="26"/>
      <c r="C66" s="22"/>
      <c r="D66" s="22"/>
      <c r="E66" s="68"/>
      <c r="F66" s="69"/>
      <c r="G66" s="68"/>
      <c r="H66" s="69"/>
      <c r="I66" s="68"/>
      <c r="J66" s="69"/>
      <c r="K66" s="68"/>
      <c r="L66" s="69"/>
      <c r="M66" s="68"/>
      <c r="N66" s="69"/>
      <c r="O66" s="22"/>
      <c r="P66" s="22"/>
      <c r="Q66" s="27"/>
      <c r="R66" s="19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</row>
    <row r="67" spans="2:123" s="18" customFormat="1" ht="18" customHeight="1" x14ac:dyDescent="0.3">
      <c r="B67" s="26"/>
      <c r="C67" s="22"/>
      <c r="D67" s="66"/>
      <c r="E67" s="67"/>
      <c r="F67" s="66"/>
      <c r="G67" s="67"/>
      <c r="H67" s="73">
        <v>3</v>
      </c>
      <c r="I67" s="67"/>
      <c r="J67" s="73">
        <v>3</v>
      </c>
      <c r="K67" s="67"/>
      <c r="L67" s="66"/>
      <c r="M67" s="67"/>
      <c r="N67" s="66"/>
      <c r="O67" s="67"/>
      <c r="P67" s="22"/>
      <c r="Q67" s="27"/>
      <c r="R67" s="19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</row>
    <row r="68" spans="2:123" s="18" customFormat="1" ht="18" customHeight="1" x14ac:dyDescent="0.3">
      <c r="B68" s="26"/>
      <c r="C68" s="22"/>
      <c r="D68" s="68"/>
      <c r="E68" s="69"/>
      <c r="F68" s="68"/>
      <c r="G68" s="69"/>
      <c r="H68" s="68"/>
      <c r="I68" s="69"/>
      <c r="J68" s="68"/>
      <c r="K68" s="69"/>
      <c r="L68" s="68"/>
      <c r="M68" s="69"/>
      <c r="N68" s="68"/>
      <c r="O68" s="69"/>
      <c r="P68" s="22"/>
      <c r="Q68" s="27"/>
      <c r="R68" s="19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</row>
    <row r="69" spans="2:123" s="18" customFormat="1" ht="18" customHeight="1" x14ac:dyDescent="0.3">
      <c r="B69" s="26"/>
      <c r="C69" s="66"/>
      <c r="D69" s="67"/>
      <c r="E69" s="66"/>
      <c r="F69" s="67"/>
      <c r="G69" s="73">
        <v>3</v>
      </c>
      <c r="H69" s="67"/>
      <c r="I69" s="66"/>
      <c r="J69" s="67"/>
      <c r="K69" s="73">
        <v>3</v>
      </c>
      <c r="L69" s="67"/>
      <c r="M69" s="66"/>
      <c r="N69" s="67"/>
      <c r="O69" s="66"/>
      <c r="P69" s="67"/>
      <c r="Q69" s="27"/>
      <c r="R69" s="19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</row>
    <row r="70" spans="2:123" s="18" customFormat="1" ht="18" customHeight="1" x14ac:dyDescent="0.3">
      <c r="B70" s="26"/>
      <c r="C70" s="68"/>
      <c r="D70" s="69"/>
      <c r="E70" s="68"/>
      <c r="F70" s="69"/>
      <c r="G70" s="68"/>
      <c r="H70" s="69"/>
      <c r="I70" s="68"/>
      <c r="J70" s="69"/>
      <c r="K70" s="68"/>
      <c r="L70" s="69"/>
      <c r="M70" s="68"/>
      <c r="N70" s="69"/>
      <c r="O70" s="68"/>
      <c r="P70" s="69"/>
      <c r="Q70" s="27"/>
      <c r="R70" s="19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</row>
    <row r="71" spans="2:123" s="18" customFormat="1" ht="18" customHeight="1" x14ac:dyDescent="0.3">
      <c r="B71" s="26"/>
      <c r="C71" s="22"/>
      <c r="D71" s="66"/>
      <c r="E71" s="67"/>
      <c r="F71" s="66"/>
      <c r="G71" s="67"/>
      <c r="H71" s="66"/>
      <c r="I71" s="67"/>
      <c r="J71" s="66"/>
      <c r="K71" s="67"/>
      <c r="L71" s="66"/>
      <c r="M71" s="67"/>
      <c r="N71" s="66"/>
      <c r="O71" s="67"/>
      <c r="P71" s="22"/>
      <c r="Q71" s="27"/>
      <c r="R71" s="19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</row>
    <row r="72" spans="2:123" s="18" customFormat="1" ht="18" customHeight="1" x14ac:dyDescent="0.3">
      <c r="B72" s="26"/>
      <c r="C72" s="22"/>
      <c r="D72" s="68"/>
      <c r="E72" s="69"/>
      <c r="F72" s="68"/>
      <c r="G72" s="69"/>
      <c r="H72" s="68"/>
      <c r="I72" s="69"/>
      <c r="J72" s="68"/>
      <c r="K72" s="69"/>
      <c r="L72" s="68"/>
      <c r="M72" s="69"/>
      <c r="N72" s="68"/>
      <c r="O72" s="69"/>
      <c r="P72" s="22"/>
      <c r="Q72" s="27"/>
      <c r="R72" s="19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</row>
    <row r="73" spans="2:123" s="18" customFormat="1" ht="18" customHeight="1" x14ac:dyDescent="0.3">
      <c r="B73" s="26"/>
      <c r="C73" s="22"/>
      <c r="D73" s="22"/>
      <c r="E73" s="66"/>
      <c r="F73" s="67"/>
      <c r="G73" s="66"/>
      <c r="H73" s="67"/>
      <c r="I73" s="66"/>
      <c r="J73" s="67"/>
      <c r="K73" s="66"/>
      <c r="L73" s="67"/>
      <c r="M73" s="66"/>
      <c r="N73" s="67"/>
      <c r="O73" s="22"/>
      <c r="P73" s="22"/>
      <c r="Q73" s="27"/>
      <c r="R73" s="19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</row>
    <row r="74" spans="2:123" s="18" customFormat="1" ht="18" customHeight="1" x14ac:dyDescent="0.3">
      <c r="B74" s="26"/>
      <c r="C74" s="22"/>
      <c r="D74" s="22"/>
      <c r="E74" s="68"/>
      <c r="F74" s="69"/>
      <c r="G74" s="68"/>
      <c r="H74" s="69"/>
      <c r="I74" s="68"/>
      <c r="J74" s="69"/>
      <c r="K74" s="68"/>
      <c r="L74" s="69"/>
      <c r="M74" s="68"/>
      <c r="N74" s="69"/>
      <c r="O74" s="22"/>
      <c r="P74" s="22"/>
      <c r="Q74" s="27"/>
      <c r="R74" s="19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</row>
    <row r="75" spans="2:123" s="18" customFormat="1" ht="18" customHeight="1" x14ac:dyDescent="0.3">
      <c r="B75" s="26"/>
      <c r="C75" s="21"/>
      <c r="D75" s="22"/>
      <c r="E75" s="22"/>
      <c r="F75" s="66"/>
      <c r="G75" s="67"/>
      <c r="H75" s="66"/>
      <c r="I75" s="67"/>
      <c r="J75" s="66"/>
      <c r="K75" s="67"/>
      <c r="L75" s="66"/>
      <c r="M75" s="67"/>
      <c r="N75" s="22"/>
      <c r="O75" s="22"/>
      <c r="P75" s="21"/>
      <c r="Q75" s="27"/>
      <c r="R75" s="19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</row>
    <row r="76" spans="2:123" s="18" customFormat="1" ht="18" customHeight="1" x14ac:dyDescent="0.3">
      <c r="B76" s="26"/>
      <c r="C76" s="21"/>
      <c r="D76" s="22"/>
      <c r="E76" s="22"/>
      <c r="F76" s="68"/>
      <c r="G76" s="69"/>
      <c r="H76" s="68"/>
      <c r="I76" s="69"/>
      <c r="J76" s="68"/>
      <c r="K76" s="69"/>
      <c r="L76" s="68"/>
      <c r="M76" s="69"/>
      <c r="N76" s="22"/>
      <c r="O76" s="22"/>
      <c r="P76" s="21"/>
      <c r="Q76" s="27"/>
      <c r="R76" s="19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</row>
    <row r="77" spans="2:123" s="18" customFormat="1" ht="18" customHeight="1" x14ac:dyDescent="0.3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8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</row>
    <row r="78" spans="2:123" s="18" customFormat="1" ht="18" customHeight="1" x14ac:dyDescent="0.3">
      <c r="B78" s="29"/>
      <c r="C78" s="82" t="str">
        <f>GetHexStr(C63:P76)</f>
        <v>(-1,-2,3,);(1,-2,3,);(-2,0,3,);(2,0,3,);</v>
      </c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4"/>
      <c r="Q78" s="2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</row>
    <row r="79" spans="2:123" s="18" customFormat="1" ht="18" customHeight="1" x14ac:dyDescent="0.3">
      <c r="B79" s="29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7"/>
      <c r="Q79" s="28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</row>
    <row r="80" spans="2:123" s="18" customFormat="1" ht="18" customHeight="1" thickBot="1" x14ac:dyDescent="0.35">
      <c r="B80" s="30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2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</row>
  </sheetData>
  <mergeCells count="950">
    <mergeCell ref="F43:G44"/>
    <mergeCell ref="H43:I44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  <mergeCell ref="X25:Y26"/>
    <mergeCell ref="AL7:AM8"/>
    <mergeCell ref="CM3:CN4"/>
    <mergeCell ref="CO3:CP4"/>
    <mergeCell ref="CQ3:CR4"/>
    <mergeCell ref="CS3:CT4"/>
    <mergeCell ref="DU23:DV24"/>
    <mergeCell ref="DW23:DX24"/>
    <mergeCell ref="DY23:DZ24"/>
    <mergeCell ref="DL7:DM8"/>
    <mergeCell ref="N7:O8"/>
    <mergeCell ref="DB7:DC8"/>
    <mergeCell ref="I5:J6"/>
    <mergeCell ref="K5:L6"/>
    <mergeCell ref="M5:N6"/>
    <mergeCell ref="L7:M8"/>
    <mergeCell ref="M45:N46"/>
    <mergeCell ref="CL5:CM6"/>
    <mergeCell ref="CN5:CO6"/>
    <mergeCell ref="CP5:CQ6"/>
    <mergeCell ref="CR5:CS6"/>
    <mergeCell ref="U11:V12"/>
    <mergeCell ref="W11:X12"/>
    <mergeCell ref="Y11:Z12"/>
    <mergeCell ref="AA11:AB12"/>
    <mergeCell ref="AC11:AD12"/>
    <mergeCell ref="AE11:AF12"/>
    <mergeCell ref="CK11:CL12"/>
    <mergeCell ref="CM11:CN12"/>
    <mergeCell ref="CO11:CP12"/>
    <mergeCell ref="CQ11:CR12"/>
    <mergeCell ref="CS11:CT12"/>
    <mergeCell ref="CA25:CB26"/>
    <mergeCell ref="DE45:DF46"/>
    <mergeCell ref="DG45:DH46"/>
    <mergeCell ref="V45:W46"/>
    <mergeCell ref="CT5:CU6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EA27:EB28"/>
    <mergeCell ref="DF7:DG8"/>
    <mergeCell ref="DH7:DI8"/>
    <mergeCell ref="DJ7:DK8"/>
    <mergeCell ref="D7:E8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D47:E48"/>
    <mergeCell ref="E13:F14"/>
    <mergeCell ref="G13:H14"/>
    <mergeCell ref="I13:J14"/>
    <mergeCell ref="K13:L14"/>
    <mergeCell ref="M13:N14"/>
    <mergeCell ref="DC13:DD14"/>
    <mergeCell ref="J67:K68"/>
    <mergeCell ref="L67:M68"/>
    <mergeCell ref="F7:G8"/>
    <mergeCell ref="H7:I8"/>
    <mergeCell ref="J7:K8"/>
    <mergeCell ref="D27:E28"/>
    <mergeCell ref="F27:G28"/>
    <mergeCell ref="H27:I28"/>
    <mergeCell ref="J27:K28"/>
    <mergeCell ref="L27:M28"/>
    <mergeCell ref="N27:O28"/>
    <mergeCell ref="DD7:DE8"/>
    <mergeCell ref="F47:G48"/>
    <mergeCell ref="H47:I48"/>
    <mergeCell ref="J47:K48"/>
    <mergeCell ref="L47:M48"/>
    <mergeCell ref="BE27:BF28"/>
    <mergeCell ref="BG27:BH28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J63:K64"/>
    <mergeCell ref="L63:M64"/>
    <mergeCell ref="C49:D50"/>
    <mergeCell ref="E49:F50"/>
    <mergeCell ref="G49:H50"/>
    <mergeCell ref="I49:J50"/>
    <mergeCell ref="K49:L50"/>
    <mergeCell ref="DR29:DS30"/>
    <mergeCell ref="DT29:DU30"/>
    <mergeCell ref="DV29:DW30"/>
    <mergeCell ref="DX29:DY30"/>
    <mergeCell ref="DK33:DL34"/>
    <mergeCell ref="DU43:DV44"/>
    <mergeCell ref="DW43:DX44"/>
    <mergeCell ref="DY43:DZ44"/>
    <mergeCell ref="DT45:DU46"/>
    <mergeCell ref="DV45:DW46"/>
    <mergeCell ref="DX45:DY46"/>
    <mergeCell ref="C29:D30"/>
    <mergeCell ref="E29:F30"/>
    <mergeCell ref="G29:H30"/>
    <mergeCell ref="I29:J30"/>
    <mergeCell ref="K29:L30"/>
    <mergeCell ref="M29:N30"/>
    <mergeCell ref="O29:P30"/>
    <mergeCell ref="DR49:DS50"/>
    <mergeCell ref="N11:O12"/>
    <mergeCell ref="CR9:CS10"/>
    <mergeCell ref="CT9:CU10"/>
    <mergeCell ref="CV9:CW10"/>
    <mergeCell ref="T9:U10"/>
    <mergeCell ref="V9:W10"/>
    <mergeCell ref="X9:Y10"/>
    <mergeCell ref="M49:N50"/>
    <mergeCell ref="O49:P50"/>
    <mergeCell ref="CJ9:CK10"/>
    <mergeCell ref="CL9:CM10"/>
    <mergeCell ref="CN9:CO10"/>
    <mergeCell ref="CP9:CQ10"/>
    <mergeCell ref="BI27:BJ28"/>
    <mergeCell ref="BK27:BL28"/>
    <mergeCell ref="BM27:BN28"/>
    <mergeCell ref="BV27:BW28"/>
    <mergeCell ref="BX27:BY28"/>
    <mergeCell ref="BZ27:CA28"/>
    <mergeCell ref="CB27:CC28"/>
    <mergeCell ref="CD27:CE28"/>
    <mergeCell ref="BC27:BD28"/>
    <mergeCell ref="BT27:BU28"/>
    <mergeCell ref="V25:W26"/>
    <mergeCell ref="DB11:DC12"/>
    <mergeCell ref="DD11:DE12"/>
    <mergeCell ref="DF11:DG12"/>
    <mergeCell ref="DH11:DI12"/>
    <mergeCell ref="DJ11:DK12"/>
    <mergeCell ref="DL11:DM12"/>
    <mergeCell ref="Z9:AA10"/>
    <mergeCell ref="AB9:AC10"/>
    <mergeCell ref="AD9:AE10"/>
    <mergeCell ref="AF9:AG10"/>
    <mergeCell ref="DE9:DF10"/>
    <mergeCell ref="DG9:DH10"/>
    <mergeCell ref="DI9:DJ10"/>
    <mergeCell ref="DA9:DB10"/>
    <mergeCell ref="DC9:DD10"/>
    <mergeCell ref="CU11:CV12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BE51:BF52"/>
    <mergeCell ref="BG51:BH52"/>
    <mergeCell ref="BI51:BJ52"/>
    <mergeCell ref="F23:G24"/>
    <mergeCell ref="H23:I24"/>
    <mergeCell ref="J23:K24"/>
    <mergeCell ref="L23:M24"/>
    <mergeCell ref="BF25:BG26"/>
    <mergeCell ref="BH25:BI26"/>
    <mergeCell ref="BJ25:BK26"/>
    <mergeCell ref="BL25:BM26"/>
    <mergeCell ref="BU25:BV26"/>
    <mergeCell ref="BW25:BX26"/>
    <mergeCell ref="BY25:BZ26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N71:O72"/>
    <mergeCell ref="O69:P70"/>
    <mergeCell ref="E69:F70"/>
    <mergeCell ref="G69:H70"/>
    <mergeCell ref="I69:J70"/>
    <mergeCell ref="K69:L70"/>
    <mergeCell ref="M69:N70"/>
    <mergeCell ref="F75:G76"/>
    <mergeCell ref="H75:I76"/>
    <mergeCell ref="J75:K76"/>
    <mergeCell ref="DK25:DL26"/>
    <mergeCell ref="DJ27:DK28"/>
    <mergeCell ref="DL27:DM28"/>
    <mergeCell ref="DL31:DM32"/>
    <mergeCell ref="V13:W14"/>
    <mergeCell ref="X13:Y14"/>
    <mergeCell ref="Z13:AA14"/>
    <mergeCell ref="AB13:AC14"/>
    <mergeCell ref="AD13:AE14"/>
    <mergeCell ref="F15:G16"/>
    <mergeCell ref="H15:I16"/>
    <mergeCell ref="J15:K16"/>
    <mergeCell ref="L15:M16"/>
    <mergeCell ref="DD15:DE16"/>
    <mergeCell ref="M53:N54"/>
    <mergeCell ref="CL13:CM14"/>
    <mergeCell ref="CN13:CO14"/>
    <mergeCell ref="CP13:CQ14"/>
    <mergeCell ref="CR13:CS14"/>
    <mergeCell ref="CT13:CU14"/>
    <mergeCell ref="BJ49:BK50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W15:X1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CC25:CD26"/>
    <mergeCell ref="BD25:BE26"/>
    <mergeCell ref="DS27:DT28"/>
    <mergeCell ref="DU27:DV28"/>
    <mergeCell ref="DW27:DX28"/>
    <mergeCell ref="AN3:AO4"/>
    <mergeCell ref="AP3:AQ4"/>
    <mergeCell ref="AR3:AS4"/>
    <mergeCell ref="AT3:AU4"/>
    <mergeCell ref="W23:X24"/>
    <mergeCell ref="Y23:Z24"/>
    <mergeCell ref="BI23:BJ24"/>
    <mergeCell ref="BK23:BL24"/>
    <mergeCell ref="BV3:BW4"/>
    <mergeCell ref="AM5:AN6"/>
    <mergeCell ref="BE23:BF24"/>
    <mergeCell ref="BG23:BH24"/>
    <mergeCell ref="AO5:AP6"/>
    <mergeCell ref="AQ5:AR6"/>
    <mergeCell ref="AS5:AT6"/>
    <mergeCell ref="AU5:AV6"/>
    <mergeCell ref="AA23:AB24"/>
    <mergeCell ref="AC23:AD24"/>
    <mergeCell ref="T18:AG19"/>
    <mergeCell ref="V5:W6"/>
    <mergeCell ref="X5:Y6"/>
    <mergeCell ref="Z5:AA6"/>
    <mergeCell ref="AB5:AC6"/>
    <mergeCell ref="AD5:AE6"/>
    <mergeCell ref="BX3:BY4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BU5:BV6"/>
    <mergeCell ref="BW5:BX6"/>
    <mergeCell ref="BY5:BZ6"/>
    <mergeCell ref="CB7:CC8"/>
    <mergeCell ref="CD7:CE8"/>
    <mergeCell ref="BT7:BU8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BF9:BG10"/>
    <mergeCell ref="BB9:BC10"/>
    <mergeCell ref="BD9:BE10"/>
    <mergeCell ref="BC11:BD12"/>
    <mergeCell ref="BE11:BF12"/>
    <mergeCell ref="BE15:BF16"/>
    <mergeCell ref="BG15:BH16"/>
    <mergeCell ref="DT49:DU50"/>
    <mergeCell ref="DV49:DW50"/>
    <mergeCell ref="DX49:DY50"/>
    <mergeCell ref="DI29:DJ30"/>
    <mergeCell ref="DK29:DL30"/>
    <mergeCell ref="DM29:DN30"/>
    <mergeCell ref="DJ31:DK32"/>
    <mergeCell ref="DU47:DV48"/>
    <mergeCell ref="DW47:DX48"/>
    <mergeCell ref="DY47:DZ48"/>
    <mergeCell ref="DS47:DT48"/>
    <mergeCell ref="DZ45:EA46"/>
    <mergeCell ref="DI45:DJ46"/>
    <mergeCell ref="DK45:DL46"/>
    <mergeCell ref="EA43:EB44"/>
    <mergeCell ref="EB33:EC34"/>
    <mergeCell ref="BL49:BM50"/>
    <mergeCell ref="BN49:BO50"/>
    <mergeCell ref="DW31:DX32"/>
    <mergeCell ref="DY31:DZ32"/>
    <mergeCell ref="EA31:EB32"/>
    <mergeCell ref="DZ29:EA30"/>
    <mergeCell ref="EB29:EC30"/>
    <mergeCell ref="D31:E32"/>
    <mergeCell ref="F31:G32"/>
    <mergeCell ref="H31:I32"/>
    <mergeCell ref="J31:K32"/>
    <mergeCell ref="L31:M32"/>
    <mergeCell ref="N31:O32"/>
    <mergeCell ref="E33:F34"/>
    <mergeCell ref="G33:H34"/>
    <mergeCell ref="I33:J34"/>
    <mergeCell ref="K33:L34"/>
    <mergeCell ref="M33:N34"/>
    <mergeCell ref="F35:G36"/>
    <mergeCell ref="H35:I36"/>
    <mergeCell ref="J35:K36"/>
    <mergeCell ref="L35:M36"/>
    <mergeCell ref="C38:P39"/>
    <mergeCell ref="DC45:DD46"/>
    <mergeCell ref="DS51:DT52"/>
    <mergeCell ref="DU51:DV52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CE9:CF10"/>
    <mergeCell ref="BY45:BZ46"/>
    <mergeCell ref="CA45:CB46"/>
    <mergeCell ref="CC45:CD46"/>
    <mergeCell ref="CL45:CM46"/>
    <mergeCell ref="AU45:AV46"/>
    <mergeCell ref="DT53:DU54"/>
    <mergeCell ref="AP11:AQ12"/>
    <mergeCell ref="AR11:AS12"/>
    <mergeCell ref="AT11:AU12"/>
    <mergeCell ref="AV11:AW12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U47:V48"/>
    <mergeCell ref="CR45:CS46"/>
    <mergeCell ref="CT45:CU46"/>
    <mergeCell ref="BU45:BV46"/>
    <mergeCell ref="BW45:BX46"/>
    <mergeCell ref="DV53:DW54"/>
    <mergeCell ref="DX53:DY54"/>
    <mergeCell ref="DZ53:EA54"/>
    <mergeCell ref="EB53:EC54"/>
    <mergeCell ref="BU33:BV34"/>
    <mergeCell ref="BW33:BX34"/>
    <mergeCell ref="DC33:DD34"/>
    <mergeCell ref="DE33:DF34"/>
    <mergeCell ref="DG33:DH34"/>
    <mergeCell ref="DI33:DJ34"/>
    <mergeCell ref="DW51:DX52"/>
    <mergeCell ref="DY51:DZ52"/>
    <mergeCell ref="EA51:EB52"/>
    <mergeCell ref="EC51:ED52"/>
    <mergeCell ref="DZ49:EA50"/>
    <mergeCell ref="EB49:EC50"/>
    <mergeCell ref="ED49:EE50"/>
    <mergeCell ref="EA47:EB48"/>
    <mergeCell ref="EC47:ED48"/>
    <mergeCell ref="EB45:EC46"/>
    <mergeCell ref="DJ47:DK48"/>
    <mergeCell ref="DL47:DM48"/>
    <mergeCell ref="CN45:CO46"/>
    <mergeCell ref="CP45:CQ46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Q43:CR44"/>
    <mergeCell ref="CS43:CT44"/>
    <mergeCell ref="CD31:CE32"/>
    <mergeCell ref="DH47:DI48"/>
    <mergeCell ref="DR58:EE59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AR15:AS16"/>
    <mergeCell ref="CB35:CC36"/>
    <mergeCell ref="BE35:BF36"/>
    <mergeCell ref="BG35:BH36"/>
    <mergeCell ref="BI35:BJ36"/>
    <mergeCell ref="BK35:BL36"/>
    <mergeCell ref="BV15:BW16"/>
    <mergeCell ref="AO33:AP34"/>
    <mergeCell ref="AP35:AQ36"/>
    <mergeCell ref="DW55:DX56"/>
    <mergeCell ref="DY55:DZ56"/>
    <mergeCell ref="EA55:EB56"/>
    <mergeCell ref="BV35:BW36"/>
    <mergeCell ref="BX35:BY36"/>
    <mergeCell ref="CO43:CP44"/>
    <mergeCell ref="BE3:BF4"/>
    <mergeCell ref="BG3:BH4"/>
    <mergeCell ref="AK18:AX19"/>
    <mergeCell ref="T38:AG39"/>
    <mergeCell ref="DD43:DE44"/>
    <mergeCell ref="DF43:DG44"/>
    <mergeCell ref="DH43:DI44"/>
    <mergeCell ref="DJ43:DK44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C35:AD36"/>
    <mergeCell ref="BZ35:CA36"/>
    <mergeCell ref="DD35:DE36"/>
    <mergeCell ref="DF35:DG36"/>
    <mergeCell ref="DH35:DI36"/>
    <mergeCell ref="DJ35:DK36"/>
    <mergeCell ref="V33:W34"/>
    <mergeCell ref="X33:Y34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BT31:BU32"/>
    <mergeCell ref="BV31:BW32"/>
    <mergeCell ref="CC9:CD10"/>
    <mergeCell ref="BH29:BI30"/>
    <mergeCell ref="BJ29:BK30"/>
    <mergeCell ref="BL29:BM30"/>
    <mergeCell ref="BH9:BI10"/>
    <mergeCell ref="BJ9:BK10"/>
    <mergeCell ref="BL9:BM10"/>
    <mergeCell ref="BN9:BO10"/>
    <mergeCell ref="BH13:BI14"/>
    <mergeCell ref="DB47:DC48"/>
    <mergeCell ref="BD5:BE6"/>
    <mergeCell ref="BF5:BG6"/>
    <mergeCell ref="BH5:BI6"/>
    <mergeCell ref="BJ5:BK6"/>
    <mergeCell ref="BL5:BM6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F33:BG34"/>
    <mergeCell ref="DD47:DE48"/>
    <mergeCell ref="DF47:DG48"/>
    <mergeCell ref="BE7:BF8"/>
    <mergeCell ref="BG7:BH8"/>
    <mergeCell ref="BI7:BJ8"/>
    <mergeCell ref="BK7:BL8"/>
    <mergeCell ref="BM7:BN8"/>
    <mergeCell ref="BT47:BU48"/>
    <mergeCell ref="AM33:AN34"/>
    <mergeCell ref="AN35:AO36"/>
    <mergeCell ref="BL45:BM46"/>
    <mergeCell ref="BI47:BJ48"/>
    <mergeCell ref="AN47:AO48"/>
    <mergeCell ref="AP47:AQ48"/>
    <mergeCell ref="AR47:AS48"/>
    <mergeCell ref="AT47:AU48"/>
    <mergeCell ref="AV47:AW48"/>
    <mergeCell ref="BC7:BD8"/>
    <mergeCell ref="BC31:BD32"/>
    <mergeCell ref="BE31:BF32"/>
    <mergeCell ref="BF29:BG30"/>
    <mergeCell ref="BN29:BO30"/>
    <mergeCell ref="BS9:BT10"/>
    <mergeCell ref="BB29:BC30"/>
    <mergeCell ref="BD29:BE30"/>
    <mergeCell ref="BS29:BT3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CL33:CM34"/>
    <mergeCell ref="CS31:CT32"/>
    <mergeCell ref="CU31:CV32"/>
    <mergeCell ref="CJ38:CW39"/>
    <mergeCell ref="BJ45:BK46"/>
    <mergeCell ref="AQ49:AR50"/>
    <mergeCell ref="AS49:AT50"/>
    <mergeCell ref="AU49:AV50"/>
    <mergeCell ref="AW49:AX50"/>
    <mergeCell ref="BB49:BC50"/>
    <mergeCell ref="BD49:BE50"/>
    <mergeCell ref="AK49:AL50"/>
    <mergeCell ref="AM49:AN50"/>
    <mergeCell ref="AO49:AP50"/>
    <mergeCell ref="BF45:BG46"/>
    <mergeCell ref="BC47:BD48"/>
    <mergeCell ref="BE47:BF48"/>
    <mergeCell ref="BG47:BH48"/>
    <mergeCell ref="AL47:AM48"/>
    <mergeCell ref="U51:V52"/>
    <mergeCell ref="W51:X52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CA49:CB50"/>
    <mergeCell ref="CC49:CD50"/>
    <mergeCell ref="CE49:CF50"/>
    <mergeCell ref="AB49:AC50"/>
    <mergeCell ref="AD49:AE50"/>
    <mergeCell ref="AF49:AG50"/>
    <mergeCell ref="T49:U50"/>
    <mergeCell ref="V49:W50"/>
    <mergeCell ref="X49:Y50"/>
    <mergeCell ref="Z49:AA50"/>
    <mergeCell ref="BC51:BD52"/>
    <mergeCell ref="Y51:Z52"/>
    <mergeCell ref="AA51:AB52"/>
    <mergeCell ref="AC51:AD52"/>
    <mergeCell ref="AE51:AF52"/>
    <mergeCell ref="AL51:AM52"/>
    <mergeCell ref="AN51:AO52"/>
    <mergeCell ref="Z33:AA34"/>
    <mergeCell ref="Y31:Z32"/>
    <mergeCell ref="AC31:AD32"/>
    <mergeCell ref="AE31:AF32"/>
    <mergeCell ref="AK38:AX39"/>
    <mergeCell ref="X45:Y46"/>
    <mergeCell ref="Z45:AA46"/>
    <mergeCell ref="W47:X48"/>
    <mergeCell ref="Y47:Z48"/>
    <mergeCell ref="AA47:AB48"/>
    <mergeCell ref="AC47:AD48"/>
    <mergeCell ref="AE47:AF48"/>
    <mergeCell ref="AA31:AB32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D13:BE14"/>
    <mergeCell ref="BF13:BG14"/>
    <mergeCell ref="BU53:BV54"/>
    <mergeCell ref="BW53:BX54"/>
    <mergeCell ref="BY53:BZ54"/>
    <mergeCell ref="CA53:CB54"/>
    <mergeCell ref="AS25:AT26"/>
    <mergeCell ref="AP27:AQ28"/>
    <mergeCell ref="AR27:AS28"/>
    <mergeCell ref="AT27:AU28"/>
    <mergeCell ref="AQ53:AR54"/>
    <mergeCell ref="AS53:AT54"/>
    <mergeCell ref="AU53:AV54"/>
    <mergeCell ref="BE43:BF44"/>
    <mergeCell ref="BG43:BH44"/>
    <mergeCell ref="BI43:BJ44"/>
    <mergeCell ref="BD45:BE46"/>
    <mergeCell ref="AO53:AP54"/>
    <mergeCell ref="BX51:BY52"/>
    <mergeCell ref="BZ51:CA52"/>
    <mergeCell ref="CB51:CC52"/>
    <mergeCell ref="AO25:AP26"/>
    <mergeCell ref="AQ25:AR26"/>
    <mergeCell ref="BS49:BT50"/>
    <mergeCell ref="BK43:BL44"/>
    <mergeCell ref="BH45:BI46"/>
    <mergeCell ref="BI15:BJ16"/>
    <mergeCell ref="BK15:BL1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AN23:AO24"/>
    <mergeCell ref="AP23:AQ24"/>
    <mergeCell ref="AR23:AS24"/>
    <mergeCell ref="AT23:AU24"/>
    <mergeCell ref="AM25:AN26"/>
    <mergeCell ref="T58:AG59"/>
    <mergeCell ref="AK58:AX59"/>
    <mergeCell ref="BB18:BO19"/>
    <mergeCell ref="BS58:CF59"/>
    <mergeCell ref="BX55:BY56"/>
    <mergeCell ref="BZ55:CA56"/>
    <mergeCell ref="CB55:CC56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S11:DT12"/>
    <mergeCell ref="DU11:DV12"/>
    <mergeCell ref="DW11:DX12"/>
    <mergeCell ref="DY11:DZ12"/>
    <mergeCell ref="EA11:EB12"/>
    <mergeCell ref="EC11:ED12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O31:CP32"/>
    <mergeCell ref="CQ31:CR32"/>
    <mergeCell ref="DU15:DV16"/>
    <mergeCell ref="DW15:DX16"/>
    <mergeCell ref="DY15:DZ16"/>
    <mergeCell ref="EA15:EB16"/>
    <mergeCell ref="CM35:CN36"/>
    <mergeCell ref="CN33:CO34"/>
    <mergeCell ref="CP33:CQ34"/>
    <mergeCell ref="CR33:CS34"/>
    <mergeCell ref="CT33:CU34"/>
    <mergeCell ref="DR18:EE19"/>
    <mergeCell ref="CO35:CP36"/>
    <mergeCell ref="CQ35:CR36"/>
    <mergeCell ref="CS35:CT36"/>
    <mergeCell ref="CS15:CT16"/>
    <mergeCell ref="DY27:DZ28"/>
    <mergeCell ref="EA23:EB24"/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"/>
  <sheetViews>
    <sheetView workbookViewId="0">
      <selection activeCell="B21" sqref="B21:C21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5" width="4.77734375" customWidth="1"/>
    <col min="6" max="6" width="30.21875" bestFit="1" customWidth="1"/>
    <col min="7" max="7" width="40" bestFit="1" customWidth="1"/>
  </cols>
  <sheetData>
    <row r="1" spans="1:7" x14ac:dyDescent="0.3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</row>
    <row r="2" spans="1:7" x14ac:dyDescent="0.3">
      <c r="A2">
        <v>1</v>
      </c>
      <c r="B2">
        <f>_xlfn.FLOOR.MATH((A2-1)/8) + 1</f>
        <v>1</v>
      </c>
      <c r="C2">
        <f>A2-(B2-1)*8</f>
        <v>1</v>
      </c>
      <c r="D2">
        <f>(B2-1)*20 + 18</f>
        <v>18</v>
      </c>
      <c r="E2">
        <f>(C2-1)*17+3</f>
        <v>3</v>
      </c>
      <c r="F2" t="str">
        <f>INDEX(block!A:EG,block_gen!D2,block_gen!E2)</f>
        <v>(0,0,6,);</v>
      </c>
      <c r="G2" t="str">
        <f>HexStrToLua(F2)</f>
        <v>{id=6, pos_list={{0, 0},}},</v>
      </c>
    </row>
    <row r="3" spans="1:7" x14ac:dyDescent="0.3">
      <c r="A3">
        <v>2</v>
      </c>
      <c r="B3">
        <f t="shared" ref="B3:B27" si="0">_xlfn.FLOOR.MATH((A3-1)/8) + 1</f>
        <v>1</v>
      </c>
      <c r="C3">
        <f t="shared" ref="C3:C27" si="1">A3-(B3-1)*8</f>
        <v>2</v>
      </c>
      <c r="D3">
        <f t="shared" ref="D3:D27" si="2">(B3-1)*20 + 18</f>
        <v>18</v>
      </c>
      <c r="E3">
        <f t="shared" ref="E3:E27" si="3">(C3-1)*17+3</f>
        <v>20</v>
      </c>
      <c r="F3" t="str">
        <f>INDEX(block!A:EG,block_gen!D3,block_gen!E3)</f>
        <v>(-2,0,1,);(0,0,1,);(2,0,1,);(4,0,1,);</v>
      </c>
      <c r="G3" t="str">
        <f t="shared" ref="G3:G26" si="4">HexStrToLua(F3)</f>
        <v>{id=1, pos_list={{-2, 0},{0, 0},{2, 0},{4, 0},}},</v>
      </c>
    </row>
    <row r="4" spans="1:7" x14ac:dyDescent="0.3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 t="str">
        <f>INDEX(block!A:EG,block_gen!D4,block_gen!E4)</f>
        <v>(2,-4,1,);(1,-2,1,);(0,0,1,);(-1,2,1,);</v>
      </c>
      <c r="G4" t="str">
        <f t="shared" si="4"/>
        <v>{id=1, pos_list={{2, -4},{1, -2},{0, 0},{-1, 2},}},</v>
      </c>
    </row>
    <row r="5" spans="1:7" x14ac:dyDescent="0.3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 t="str">
        <f>INDEX(block!A:EG,block_gen!D5,block_gen!E5)</f>
        <v>(-1,-2,1,);(0,0,1,);(1,2,1,);(2,4,1,);</v>
      </c>
      <c r="G5" t="str">
        <f t="shared" si="4"/>
        <v>{id=1, pos_list={{-1, -2},{0, 0},{1, 2},{2, 4},}},</v>
      </c>
    </row>
    <row r="6" spans="1:7" x14ac:dyDescent="0.3">
      <c r="A6">
        <v>5</v>
      </c>
      <c r="B6">
        <f t="shared" si="0"/>
        <v>1</v>
      </c>
      <c r="C6">
        <f t="shared" si="1"/>
        <v>5</v>
      </c>
      <c r="D6">
        <f t="shared" si="2"/>
        <v>18</v>
      </c>
      <c r="E6">
        <f t="shared" si="3"/>
        <v>71</v>
      </c>
      <c r="F6" t="str">
        <f>INDEX(block!A:EG,block_gen!D6,block_gen!E6)</f>
        <v>(1,-2,5,);(-2,0,5,);(0,0,5,);(2,0,5,);</v>
      </c>
      <c r="G6" t="str">
        <f t="shared" si="4"/>
        <v>{id=5, pos_list={{1, -2},{-2, 0},{0, 0},{2, 0},}},</v>
      </c>
    </row>
    <row r="7" spans="1:7" x14ac:dyDescent="0.3">
      <c r="A7">
        <v>6</v>
      </c>
      <c r="B7">
        <f t="shared" si="0"/>
        <v>1</v>
      </c>
      <c r="C7">
        <f t="shared" si="1"/>
        <v>6</v>
      </c>
      <c r="D7">
        <f t="shared" si="2"/>
        <v>18</v>
      </c>
      <c r="E7">
        <f t="shared" si="3"/>
        <v>88</v>
      </c>
      <c r="F7" t="str">
        <f>INDEX(block!A:EG,block_gen!D7,block_gen!E7)</f>
        <v>(-1,-2,5,);(-2,0,5,);(0,0,5,);(2,0,5,);</v>
      </c>
      <c r="G7" t="str">
        <f t="shared" si="4"/>
        <v>{id=5, pos_list={{-1, -2},{-2, 0},{0, 0},{2, 0},}},</v>
      </c>
    </row>
    <row r="8" spans="1:7" x14ac:dyDescent="0.3">
      <c r="A8">
        <v>7</v>
      </c>
      <c r="B8">
        <f t="shared" si="0"/>
        <v>1</v>
      </c>
      <c r="C8">
        <f t="shared" si="1"/>
        <v>7</v>
      </c>
      <c r="D8">
        <f t="shared" si="2"/>
        <v>18</v>
      </c>
      <c r="E8">
        <f t="shared" si="3"/>
        <v>105</v>
      </c>
      <c r="F8" t="str">
        <f>INDEX(block!A:EG,block_gen!D8,block_gen!E8)</f>
        <v>(-2,0,5,);(0,0,5,);(2,0,5,);(-1,2,5,);</v>
      </c>
      <c r="G8" t="str">
        <f t="shared" si="4"/>
        <v>{id=5, pos_list={{-2, 0},{0, 0},{2, 0},{-1, 2},}},</v>
      </c>
    </row>
    <row r="9" spans="1:7" x14ac:dyDescent="0.3">
      <c r="A9">
        <v>8</v>
      </c>
      <c r="B9">
        <f t="shared" si="0"/>
        <v>1</v>
      </c>
      <c r="C9">
        <f t="shared" si="1"/>
        <v>8</v>
      </c>
      <c r="D9">
        <f t="shared" si="2"/>
        <v>18</v>
      </c>
      <c r="E9">
        <f t="shared" si="3"/>
        <v>122</v>
      </c>
      <c r="F9" t="str">
        <f>INDEX(block!A:EG,block_gen!D9,block_gen!E9)</f>
        <v>(-2,0,5,);(0,0,5,);(2,0,5,);(1,2,5,);</v>
      </c>
      <c r="G9" t="str">
        <f t="shared" si="4"/>
        <v>{id=5, pos_list={{-2, 0},{0, 0},{2, 0},{1, 2},}},</v>
      </c>
    </row>
    <row r="10" spans="1:7" x14ac:dyDescent="0.3">
      <c r="A10">
        <v>9</v>
      </c>
      <c r="B10">
        <f t="shared" si="0"/>
        <v>2</v>
      </c>
      <c r="C10">
        <f t="shared" si="1"/>
        <v>1</v>
      </c>
      <c r="D10">
        <f t="shared" si="2"/>
        <v>38</v>
      </c>
      <c r="E10">
        <f t="shared" si="3"/>
        <v>3</v>
      </c>
      <c r="F10" t="str">
        <f>INDEX(block!A:EG,block_gen!D10,block_gen!E10)</f>
        <v>(-1,-2,2,);(1,-2,2,);(-2,0,2,);(0,0,2,);</v>
      </c>
      <c r="G10" t="str">
        <f t="shared" si="4"/>
        <v>{id=2, pos_list={{-1, -2},{1, -2},{-2, 0},{0, 0},}},</v>
      </c>
    </row>
    <row r="11" spans="1:7" x14ac:dyDescent="0.3">
      <c r="A11">
        <v>10</v>
      </c>
      <c r="B11">
        <f t="shared" si="0"/>
        <v>2</v>
      </c>
      <c r="C11">
        <f t="shared" si="1"/>
        <v>2</v>
      </c>
      <c r="D11">
        <f t="shared" si="2"/>
        <v>38</v>
      </c>
      <c r="E11">
        <f t="shared" si="3"/>
        <v>20</v>
      </c>
      <c r="F11" t="str">
        <f>INDEX(block!A:EG,block_gen!D11,block_gen!E11)</f>
        <v>(-1,-2,2,);(1,-2,2,);(0,0,2,);(2,0,2,);</v>
      </c>
      <c r="G11" t="str">
        <f t="shared" si="4"/>
        <v>{id=2, pos_list={{-1, -2},{1, -2},{0, 0},{2, 0},}},</v>
      </c>
    </row>
    <row r="12" spans="1:7" x14ac:dyDescent="0.3">
      <c r="A12">
        <v>11</v>
      </c>
      <c r="B12">
        <f t="shared" si="0"/>
        <v>2</v>
      </c>
      <c r="C12">
        <f t="shared" si="1"/>
        <v>3</v>
      </c>
      <c r="D12">
        <f t="shared" si="2"/>
        <v>38</v>
      </c>
      <c r="E12">
        <f t="shared" si="3"/>
        <v>37</v>
      </c>
      <c r="F12" t="str">
        <f>INDEX(block!A:EG,block_gen!D12,block_gen!E12)</f>
        <v>(-1,-2,2,);(-2,0,2,);(0,0,2,);(-1,2,2,);</v>
      </c>
      <c r="G12" t="str">
        <f t="shared" si="4"/>
        <v>{id=2, pos_list={{-1, -2},{-2, 0},{0, 0},{-1, 2},}},</v>
      </c>
    </row>
    <row r="13" spans="1:7" x14ac:dyDescent="0.3">
      <c r="A13">
        <v>12</v>
      </c>
      <c r="B13">
        <f t="shared" si="0"/>
        <v>2</v>
      </c>
      <c r="C13">
        <f t="shared" si="1"/>
        <v>4</v>
      </c>
      <c r="D13">
        <f t="shared" si="2"/>
        <v>38</v>
      </c>
      <c r="E13">
        <f t="shared" si="3"/>
        <v>54</v>
      </c>
      <c r="F13" t="str">
        <f>INDEX(block!A:EG,block_gen!D13,block_gen!E13)</f>
        <v>(1,-2,4,);(-2,0,4,);(0,0,4,);(-1,2,4,);</v>
      </c>
      <c r="G13" t="str">
        <f t="shared" si="4"/>
        <v>{id=4, pos_list={{1, -2},{-2, 0},{0, 0},{-1, 2},}},</v>
      </c>
    </row>
    <row r="14" spans="1:7" x14ac:dyDescent="0.3">
      <c r="A14">
        <v>13</v>
      </c>
      <c r="B14">
        <f t="shared" si="0"/>
        <v>2</v>
      </c>
      <c r="C14">
        <f t="shared" si="1"/>
        <v>5</v>
      </c>
      <c r="D14">
        <f t="shared" si="2"/>
        <v>38</v>
      </c>
      <c r="E14">
        <f t="shared" si="3"/>
        <v>71</v>
      </c>
      <c r="F14" t="str">
        <f>INDEX(block!A:EG,block_gen!D14,block_gen!E14)</f>
        <v>(1,-2,4,);(0,0,4,);(-1,2,4,);(1,2,4,);</v>
      </c>
      <c r="G14" t="str">
        <f t="shared" si="4"/>
        <v>{id=4, pos_list={{1, -2},{0, 0},{-1, 2},{1, 2},}},</v>
      </c>
    </row>
    <row r="15" spans="1:7" x14ac:dyDescent="0.3">
      <c r="A15">
        <v>14</v>
      </c>
      <c r="B15">
        <f t="shared" si="0"/>
        <v>2</v>
      </c>
      <c r="C15">
        <f t="shared" si="1"/>
        <v>6</v>
      </c>
      <c r="D15">
        <f t="shared" si="2"/>
        <v>38</v>
      </c>
      <c r="E15">
        <f t="shared" si="3"/>
        <v>88</v>
      </c>
      <c r="F15" t="str">
        <f>INDEX(block!A:EG,block_gen!D15,block_gen!E15)</f>
        <v>(1,-2,4,);(0,0,4,);(2,0,4,);(-1,2,4,);</v>
      </c>
      <c r="G15" t="str">
        <f t="shared" si="4"/>
        <v>{id=4, pos_list={{1, -2},{0, 0},{2, 0},{-1, 2},}},</v>
      </c>
    </row>
    <row r="16" spans="1:7" x14ac:dyDescent="0.3">
      <c r="A16">
        <v>15</v>
      </c>
      <c r="B16">
        <f t="shared" si="0"/>
        <v>2</v>
      </c>
      <c r="C16">
        <f t="shared" si="1"/>
        <v>7</v>
      </c>
      <c r="D16">
        <f t="shared" si="2"/>
        <v>38</v>
      </c>
      <c r="E16">
        <f t="shared" si="3"/>
        <v>105</v>
      </c>
      <c r="F16" t="str">
        <f>INDEX(block!A:EG,block_gen!D16,block_gen!E16)</f>
        <v>(-1,-2,4,);(1,-2,4,);(0,0,4,);(-1,2,4,);</v>
      </c>
      <c r="G16" t="str">
        <f t="shared" si="4"/>
        <v>{id=4, pos_list={{-1, -2},{1, -2},{0, 0},{-1, 2},}},</v>
      </c>
    </row>
    <row r="17" spans="1:7" x14ac:dyDescent="0.3">
      <c r="A17">
        <v>16</v>
      </c>
      <c r="B17">
        <f t="shared" si="0"/>
        <v>2</v>
      </c>
      <c r="C17">
        <f t="shared" si="1"/>
        <v>8</v>
      </c>
      <c r="D17">
        <f t="shared" si="2"/>
        <v>38</v>
      </c>
      <c r="E17">
        <f t="shared" si="3"/>
        <v>122</v>
      </c>
      <c r="F17" t="str">
        <f>INDEX(block!A:EG,block_gen!D17,block_gen!E17)</f>
        <v>(-1,-2,4,);(0,0,4,);(-1,2,4,);(1,2,4,);</v>
      </c>
      <c r="G17" t="str">
        <f t="shared" si="4"/>
        <v>{id=4, pos_list={{-1, -2},{0, 0},{-1, 2},{1, 2},}},</v>
      </c>
    </row>
    <row r="18" spans="1:7" x14ac:dyDescent="0.3">
      <c r="A18">
        <v>17</v>
      </c>
      <c r="B18">
        <f t="shared" si="0"/>
        <v>3</v>
      </c>
      <c r="C18">
        <f t="shared" si="1"/>
        <v>1</v>
      </c>
      <c r="D18">
        <f t="shared" si="2"/>
        <v>58</v>
      </c>
      <c r="E18">
        <f t="shared" si="3"/>
        <v>3</v>
      </c>
      <c r="F18" t="str">
        <f>INDEX(block!A:EG,block_gen!D18,block_gen!E18)</f>
        <v>(-1,-2,4,);(0,0,4,);(2,0,4,);(1,2,4,);</v>
      </c>
      <c r="G18" t="str">
        <f t="shared" si="4"/>
        <v>{id=4, pos_list={{-1, -2},{0, 0},{2, 0},{1, 2},}},</v>
      </c>
    </row>
    <row r="19" spans="1:7" x14ac:dyDescent="0.3">
      <c r="A19">
        <v>18</v>
      </c>
      <c r="B19">
        <f t="shared" si="0"/>
        <v>3</v>
      </c>
      <c r="C19">
        <f t="shared" si="1"/>
        <v>2</v>
      </c>
      <c r="D19">
        <f t="shared" si="2"/>
        <v>58</v>
      </c>
      <c r="E19">
        <f t="shared" si="3"/>
        <v>20</v>
      </c>
      <c r="F19" t="str">
        <f>INDEX(block!A:EG,block_gen!D19,block_gen!E19)</f>
        <v>(-1,-2,4,);(-2,0,4,);(0,0,4,);(1,2,4,);</v>
      </c>
      <c r="G19" t="str">
        <f t="shared" si="4"/>
        <v>{id=4, pos_list={{-1, -2},{-2, 0},{0, 0},{1, 2},}},</v>
      </c>
    </row>
    <row r="20" spans="1:7" x14ac:dyDescent="0.3">
      <c r="A20">
        <v>19</v>
      </c>
      <c r="B20">
        <f t="shared" si="0"/>
        <v>3</v>
      </c>
      <c r="C20">
        <f t="shared" si="1"/>
        <v>3</v>
      </c>
      <c r="D20">
        <f t="shared" si="2"/>
        <v>58</v>
      </c>
      <c r="E20">
        <f t="shared" si="3"/>
        <v>37</v>
      </c>
      <c r="F20" t="str">
        <f>INDEX(block!A:EG,block_gen!D20,block_gen!E20)</f>
        <v>(-1,-2,4,);(1,-2,4,);(0,0,4,);(1,2,4,);</v>
      </c>
      <c r="G20" t="str">
        <f t="shared" si="4"/>
        <v>{id=4, pos_list={{-1, -2},{1, -2},{0, 0},{1, 2},}},</v>
      </c>
    </row>
    <row r="21" spans="1:7" x14ac:dyDescent="0.3">
      <c r="A21">
        <v>20</v>
      </c>
      <c r="B21">
        <f t="shared" si="0"/>
        <v>3</v>
      </c>
      <c r="C21">
        <f t="shared" si="1"/>
        <v>4</v>
      </c>
      <c r="D21">
        <f t="shared" si="2"/>
        <v>58</v>
      </c>
      <c r="E21">
        <f t="shared" si="3"/>
        <v>54</v>
      </c>
      <c r="F21" t="str">
        <f>INDEX(block!A:EG,block_gen!D21,block_gen!E21)</f>
        <v>(-1,-2,3,);(-2,0,3,);(-1,2,3,);(1,2,3,);</v>
      </c>
      <c r="G21" t="str">
        <f t="shared" si="4"/>
        <v>{id=3, pos_list={{-1, -2},{-2, 0},{-1, 2},{1, 2},}},</v>
      </c>
    </row>
    <row r="22" spans="1:7" x14ac:dyDescent="0.3">
      <c r="A22">
        <v>21</v>
      </c>
      <c r="B22">
        <f t="shared" si="0"/>
        <v>3</v>
      </c>
      <c r="C22">
        <f t="shared" si="1"/>
        <v>5</v>
      </c>
      <c r="D22">
        <f t="shared" si="2"/>
        <v>58</v>
      </c>
      <c r="E22">
        <f t="shared" si="3"/>
        <v>71</v>
      </c>
      <c r="F22" t="str">
        <f>INDEX(block!A:EG,block_gen!D22,block_gen!E22)</f>
        <v>(1,-2,3,);(2,0,3,);(-1,2,3,);(1,2,3,);</v>
      </c>
      <c r="G22" t="str">
        <f t="shared" si="4"/>
        <v>{id=3, pos_list={{1, -2},{2, 0},{-1, 2},{1, 2},}},</v>
      </c>
    </row>
    <row r="23" spans="1:7" x14ac:dyDescent="0.3">
      <c r="A23">
        <v>22</v>
      </c>
      <c r="B23">
        <f t="shared" si="0"/>
        <v>3</v>
      </c>
      <c r="C23">
        <f t="shared" si="1"/>
        <v>6</v>
      </c>
      <c r="D23">
        <f t="shared" si="2"/>
        <v>58</v>
      </c>
      <c r="E23">
        <f t="shared" si="3"/>
        <v>88</v>
      </c>
      <c r="F23" t="str">
        <f>INDEX(block!A:EG,block_gen!D23,block_gen!E23)</f>
        <v>(-1,-2,3,);(1,-2,3,);(-2,0,3,);(-1,2,3,);</v>
      </c>
      <c r="G23" t="str">
        <f t="shared" si="4"/>
        <v>{id=3, pos_list={{-1, -2},{1, -2},{-2, 0},{-1, 2},}},</v>
      </c>
    </row>
    <row r="24" spans="1:7" x14ac:dyDescent="0.3">
      <c r="A24">
        <v>23</v>
      </c>
      <c r="B24">
        <f t="shared" si="0"/>
        <v>3</v>
      </c>
      <c r="C24">
        <f t="shared" si="1"/>
        <v>7</v>
      </c>
      <c r="D24">
        <f t="shared" si="2"/>
        <v>58</v>
      </c>
      <c r="E24">
        <f t="shared" si="3"/>
        <v>105</v>
      </c>
      <c r="F24" t="str">
        <f>INDEX(block!A:EG,block_gen!D24,block_gen!E24)</f>
        <v>(-1,-2,3,);(1,-2,3,);(2,0,3,);(1,2,3,);</v>
      </c>
      <c r="G24" t="str">
        <f t="shared" si="4"/>
        <v>{id=3, pos_list={{-1, -2},{1, -2},{2, 0},{1, 2},}},</v>
      </c>
    </row>
    <row r="25" spans="1:7" x14ac:dyDescent="0.3">
      <c r="A25">
        <v>24</v>
      </c>
      <c r="B25">
        <f t="shared" si="0"/>
        <v>3</v>
      </c>
      <c r="C25">
        <f t="shared" si="1"/>
        <v>8</v>
      </c>
      <c r="D25">
        <f t="shared" si="2"/>
        <v>58</v>
      </c>
      <c r="E25">
        <f t="shared" si="3"/>
        <v>122</v>
      </c>
      <c r="F25" t="str">
        <f>INDEX(block!A:EG,block_gen!D25,block_gen!E25)</f>
        <v>(-2,0,3,);(2,0,3,);(-1,2,3,);(1,2,3,);</v>
      </c>
      <c r="G25" t="str">
        <f t="shared" si="4"/>
        <v>{id=3, pos_list={{-2, 0},{2, 0},{-1, 2},{1, 2},}},</v>
      </c>
    </row>
    <row r="26" spans="1:7" x14ac:dyDescent="0.3">
      <c r="A26">
        <v>25</v>
      </c>
      <c r="B26">
        <f t="shared" si="0"/>
        <v>4</v>
      </c>
      <c r="C26">
        <f t="shared" si="1"/>
        <v>1</v>
      </c>
      <c r="D26">
        <f t="shared" si="2"/>
        <v>78</v>
      </c>
      <c r="E26">
        <f t="shared" si="3"/>
        <v>3</v>
      </c>
      <c r="F26" t="str">
        <f>INDEX(block!A:EG,block_gen!D26,block_gen!E26)</f>
        <v>(-1,-2,3,);(1,-2,3,);(-2,0,3,);(2,0,3,);</v>
      </c>
      <c r="G26" t="str">
        <f t="shared" si="4"/>
        <v>{id=3, pos_list={{-1, -2},{1, -2},{-2, 0},{2, 0},}},</v>
      </c>
    </row>
    <row r="27" spans="1:7" x14ac:dyDescent="0.3">
      <c r="A27">
        <v>26</v>
      </c>
      <c r="B27">
        <f t="shared" si="0"/>
        <v>4</v>
      </c>
      <c r="C27">
        <f t="shared" si="1"/>
        <v>2</v>
      </c>
      <c r="D27">
        <f t="shared" si="2"/>
        <v>78</v>
      </c>
      <c r="E27">
        <f t="shared" si="3"/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3"/>
  <sheetViews>
    <sheetView workbookViewId="0">
      <selection activeCell="I2" sqref="I2"/>
    </sheetView>
  </sheetViews>
  <sheetFormatPr defaultRowHeight="16.5" x14ac:dyDescent="0.3"/>
  <cols>
    <col min="1" max="1" width="3.5546875" customWidth="1"/>
    <col min="2" max="2" width="3.77734375" customWidth="1"/>
    <col min="3" max="3" width="9.21875" customWidth="1"/>
    <col min="7" max="7" width="4.77734375" customWidth="1"/>
    <col min="9" max="9" width="5.88671875" customWidth="1"/>
  </cols>
  <sheetData>
    <row r="2" spans="2:9" x14ac:dyDescent="0.3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6</v>
      </c>
    </row>
    <row r="3" spans="2:9" x14ac:dyDescent="0.3">
      <c r="B3" s="36">
        <v>1</v>
      </c>
      <c r="C3" s="37">
        <v>255</v>
      </c>
      <c r="D3" s="37">
        <v>220</v>
      </c>
      <c r="E3" s="37">
        <v>137</v>
      </c>
      <c r="F3" s="37" t="str">
        <f>GET_RGB(C3,D3,E3)</f>
        <v>9035007</v>
      </c>
      <c r="H3" s="17" t="s">
        <v>84</v>
      </c>
      <c r="I3" s="17">
        <f>MIN(B:B)</f>
        <v>1</v>
      </c>
    </row>
    <row r="4" spans="2:9" x14ac:dyDescent="0.3">
      <c r="B4" s="38">
        <v>2</v>
      </c>
      <c r="C4" s="17">
        <v>255</v>
      </c>
      <c r="D4" s="17">
        <v>137</v>
      </c>
      <c r="E4" s="17">
        <v>181</v>
      </c>
      <c r="F4" s="37" t="str">
        <f t="shared" ref="F4:F8" si="0">GET_RGB(C4,D4,E4)</f>
        <v>11897343</v>
      </c>
      <c r="G4" s="35"/>
    </row>
    <row r="5" spans="2:9" x14ac:dyDescent="0.3">
      <c r="B5" s="39">
        <v>3</v>
      </c>
      <c r="C5" s="17">
        <v>245</v>
      </c>
      <c r="D5" s="17">
        <v>162</v>
      </c>
      <c r="E5" s="17">
        <v>11</v>
      </c>
      <c r="F5" s="37" t="str">
        <f t="shared" si="0"/>
        <v>762613</v>
      </c>
      <c r="G5" s="35"/>
    </row>
    <row r="6" spans="2:9" x14ac:dyDescent="0.3">
      <c r="B6" s="40">
        <v>4</v>
      </c>
      <c r="C6" s="17">
        <v>137</v>
      </c>
      <c r="D6" s="17">
        <v>140</v>
      </c>
      <c r="E6" s="17">
        <v>255</v>
      </c>
      <c r="F6" s="37" t="str">
        <f t="shared" si="0"/>
        <v>16747657</v>
      </c>
      <c r="G6" s="35"/>
    </row>
    <row r="7" spans="2:9" x14ac:dyDescent="0.3">
      <c r="B7" s="41">
        <v>5</v>
      </c>
      <c r="C7" s="17">
        <v>113</v>
      </c>
      <c r="D7" s="17">
        <v>224</v>
      </c>
      <c r="E7" s="17">
        <v>150</v>
      </c>
      <c r="F7" s="37" t="str">
        <f t="shared" si="0"/>
        <v>9887857</v>
      </c>
      <c r="G7" s="35"/>
    </row>
    <row r="8" spans="2:9" x14ac:dyDescent="0.3">
      <c r="B8" s="42">
        <v>6</v>
      </c>
      <c r="C8" s="17">
        <v>207</v>
      </c>
      <c r="D8" s="17">
        <v>243</v>
      </c>
      <c r="E8" s="17">
        <v>129</v>
      </c>
      <c r="F8" s="37" t="str">
        <f t="shared" si="0"/>
        <v>8516559</v>
      </c>
      <c r="G8" s="35"/>
    </row>
    <row r="9" spans="2:9" x14ac:dyDescent="0.3">
      <c r="G9" s="35"/>
    </row>
    <row r="10" spans="2:9" x14ac:dyDescent="0.3">
      <c r="G10" s="35"/>
    </row>
    <row r="11" spans="2:9" x14ac:dyDescent="0.3">
      <c r="G11" s="35"/>
    </row>
    <row r="12" spans="2:9" x14ac:dyDescent="0.3">
      <c r="G12" s="35"/>
    </row>
    <row r="13" spans="2:9" x14ac:dyDescent="0.3">
      <c r="G13" s="3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topLeftCell="A7" zoomScale="55" zoomScaleNormal="55" workbookViewId="0">
      <selection activeCell="E59" sqref="E59"/>
    </sheetView>
  </sheetViews>
  <sheetFormatPr defaultRowHeight="16.5" x14ac:dyDescent="0.3"/>
  <cols>
    <col min="1" max="16384" width="8.88671875" style="5"/>
  </cols>
  <sheetData>
    <row r="2" spans="2:19" x14ac:dyDescent="0.3">
      <c r="B2" s="94">
        <v>255220137</v>
      </c>
      <c r="C2" s="95"/>
      <c r="D2" s="95"/>
      <c r="E2" s="94">
        <v>255137181</v>
      </c>
      <c r="F2" s="95"/>
      <c r="G2" s="95"/>
      <c r="H2" s="95" t="s">
        <v>65</v>
      </c>
      <c r="I2" s="95"/>
      <c r="J2" s="95"/>
      <c r="K2" s="94">
        <v>137140255</v>
      </c>
      <c r="L2" s="95"/>
      <c r="M2" s="95"/>
      <c r="N2" s="94">
        <v>113224150</v>
      </c>
      <c r="O2" s="95"/>
      <c r="P2" s="95"/>
      <c r="Q2" s="94">
        <v>207243129</v>
      </c>
      <c r="R2" s="95"/>
      <c r="S2" s="95"/>
    </row>
    <row r="3" spans="2:19" x14ac:dyDescent="0.3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2"/>
  <sheetViews>
    <sheetView showGridLines="0" tabSelected="1" topLeftCell="A10" workbookViewId="0">
      <selection activeCell="O20" sqref="O20"/>
    </sheetView>
  </sheetViews>
  <sheetFormatPr defaultColWidth="6.77734375" defaultRowHeight="16.5" x14ac:dyDescent="0.3"/>
  <cols>
    <col min="23" max="23" width="7.6640625" bestFit="1" customWidth="1"/>
  </cols>
  <sheetData>
    <row r="1" spans="1:7" s="6" customFormat="1" ht="15" x14ac:dyDescent="0.3">
      <c r="A1" s="6" t="s">
        <v>66</v>
      </c>
    </row>
    <row r="2" spans="1:7" x14ac:dyDescent="0.3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3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3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3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3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3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3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3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3">
      <c r="B11" t="s">
        <v>69</v>
      </c>
    </row>
    <row r="12" spans="1:7" s="7" customFormat="1" ht="15" x14ac:dyDescent="0.3">
      <c r="A12" s="7" t="s">
        <v>70</v>
      </c>
    </row>
    <row r="13" spans="1:7" x14ac:dyDescent="0.3">
      <c r="B13" t="s">
        <v>100</v>
      </c>
      <c r="C13" t="s">
        <v>71</v>
      </c>
    </row>
    <row r="14" spans="1:7" x14ac:dyDescent="0.3">
      <c r="B14" t="s">
        <v>101</v>
      </c>
      <c r="C14" t="s">
        <v>90</v>
      </c>
    </row>
    <row r="15" spans="1:7" x14ac:dyDescent="0.3">
      <c r="B15" t="s">
        <v>101</v>
      </c>
      <c r="C15" t="s">
        <v>89</v>
      </c>
    </row>
    <row r="16" spans="1:7" x14ac:dyDescent="0.3">
      <c r="C16" t="s">
        <v>102</v>
      </c>
    </row>
    <row r="17" spans="3:23" x14ac:dyDescent="0.3">
      <c r="C17" t="s">
        <v>95</v>
      </c>
    </row>
    <row r="18" spans="3:23" x14ac:dyDescent="0.3">
      <c r="D18" t="s">
        <v>91</v>
      </c>
    </row>
    <row r="19" spans="3:23" x14ac:dyDescent="0.3">
      <c r="D19" t="s">
        <v>92</v>
      </c>
    </row>
    <row r="20" spans="3:23" x14ac:dyDescent="0.3">
      <c r="D20" t="s">
        <v>93</v>
      </c>
    </row>
    <row r="21" spans="3:23" x14ac:dyDescent="0.3">
      <c r="C21" t="s">
        <v>94</v>
      </c>
    </row>
    <row r="22" spans="3:23" x14ac:dyDescent="0.3">
      <c r="C22" t="s">
        <v>96</v>
      </c>
    </row>
    <row r="23" spans="3:23" x14ac:dyDescent="0.3">
      <c r="D23" t="s">
        <v>97</v>
      </c>
    </row>
    <row r="24" spans="3:23" x14ac:dyDescent="0.3">
      <c r="D24" t="s">
        <v>98</v>
      </c>
      <c r="L24" t="s">
        <v>105</v>
      </c>
    </row>
    <row r="25" spans="3:23" x14ac:dyDescent="0.3">
      <c r="D25" t="s">
        <v>99</v>
      </c>
      <c r="J25" t="s">
        <v>103</v>
      </c>
      <c r="K25" t="s">
        <v>104</v>
      </c>
      <c r="L25" t="s">
        <v>106</v>
      </c>
    </row>
    <row r="26" spans="3:23" x14ac:dyDescent="0.3">
      <c r="L26">
        <f>1536/6</f>
        <v>256</v>
      </c>
      <c r="V26" t="s">
        <v>107</v>
      </c>
      <c r="W26" t="s">
        <v>108</v>
      </c>
    </row>
    <row r="27" spans="3:23" x14ac:dyDescent="0.3">
      <c r="L27">
        <f>1536/2</f>
        <v>768</v>
      </c>
      <c r="O27">
        <v>1</v>
      </c>
      <c r="P27">
        <v>2</v>
      </c>
      <c r="Q27">
        <v>3</v>
      </c>
      <c r="R27">
        <v>4</v>
      </c>
      <c r="U27">
        <v>1</v>
      </c>
      <c r="V27">
        <f>IF(MOD(U27,4)=0,4,MOD(U27,4))</f>
        <v>1</v>
      </c>
      <c r="W27">
        <f>FLOOR((U27+3)/4,1)</f>
        <v>1</v>
      </c>
    </row>
    <row r="28" spans="3:23" x14ac:dyDescent="0.3">
      <c r="O28">
        <v>5</v>
      </c>
      <c r="P28">
        <v>6</v>
      </c>
      <c r="Q28">
        <v>7</v>
      </c>
      <c r="R28">
        <v>8</v>
      </c>
      <c r="U28">
        <v>2</v>
      </c>
      <c r="V28">
        <f t="shared" ref="V28:V32" si="0">IF(MOD(U28,4)=0,4,MOD(U28,4))</f>
        <v>2</v>
      </c>
      <c r="W28">
        <f t="shared" ref="W28:W32" si="1">FLOOR((U28+3)/4,1)</f>
        <v>1</v>
      </c>
    </row>
    <row r="29" spans="3:23" x14ac:dyDescent="0.3">
      <c r="U29">
        <v>3</v>
      </c>
      <c r="V29">
        <f t="shared" si="0"/>
        <v>3</v>
      </c>
      <c r="W29">
        <f t="shared" si="1"/>
        <v>1</v>
      </c>
    </row>
    <row r="30" spans="3:23" x14ac:dyDescent="0.3">
      <c r="U30">
        <v>4</v>
      </c>
      <c r="V30">
        <f t="shared" si="0"/>
        <v>4</v>
      </c>
      <c r="W30">
        <f t="shared" si="1"/>
        <v>1</v>
      </c>
    </row>
    <row r="31" spans="3:23" x14ac:dyDescent="0.3">
      <c r="U31">
        <v>5</v>
      </c>
      <c r="V31">
        <f t="shared" si="0"/>
        <v>1</v>
      </c>
      <c r="W31">
        <f t="shared" si="1"/>
        <v>2</v>
      </c>
    </row>
    <row r="32" spans="3:23" x14ac:dyDescent="0.3">
      <c r="U32">
        <v>6</v>
      </c>
      <c r="V32">
        <f t="shared" si="0"/>
        <v>2</v>
      </c>
      <c r="W32">
        <f t="shared" si="1"/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cord</vt:lpstr>
      <vt:lpstr>map</vt:lpstr>
      <vt:lpstr>block</vt:lpstr>
      <vt:lpstr>block_gen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cp:lastPrinted>2015-10-22T03:20:59Z</cp:lastPrinted>
  <dcterms:created xsi:type="dcterms:W3CDTF">2015-10-15T06:20:46Z</dcterms:created>
  <dcterms:modified xsi:type="dcterms:W3CDTF">2015-10-28T11:33:59Z</dcterms:modified>
</cp:coreProperties>
</file>